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ФЛЭШКА\07_МАтМодУстройств\СЕМИНАРЫ_7_СЕМЕСТР\ОБРАТНЫЕ СВЯЗИ\"/>
    </mc:Choice>
  </mc:AlternateContent>
  <bookViews>
    <workbookView xWindow="480" yWindow="120" windowWidth="23250" windowHeight="12585"/>
  </bookViews>
  <sheets>
    <sheet name="Лист1" sheetId="1" r:id="rId1"/>
    <sheet name="Лист2" sheetId="2" r:id="rId2"/>
    <sheet name="Лист3" sheetId="3" r:id="rId3"/>
  </sheets>
  <calcPr calcId="162913"/>
</workbook>
</file>

<file path=xl/calcChain.xml><?xml version="1.0" encoding="utf-8"?>
<calcChain xmlns="http://schemas.openxmlformats.org/spreadsheetml/2006/main">
  <c r="D23" i="1" l="1"/>
  <c r="P23" i="1" l="1"/>
  <c r="J23" i="1"/>
  <c r="Q23" i="1"/>
  <c r="E23" i="1" l="1"/>
  <c r="K23" i="1"/>
  <c r="L23" i="1" l="1"/>
  <c r="R23" i="1"/>
  <c r="F23" i="1"/>
  <c r="S23" i="1" l="1"/>
  <c r="T23" i="1" s="1"/>
  <c r="O24" i="1" s="1"/>
  <c r="M23" i="1"/>
  <c r="G23" i="1"/>
  <c r="A24" i="1" l="1"/>
  <c r="A25" i="1" s="1"/>
  <c r="B24" i="1"/>
  <c r="A26" i="1" l="1"/>
  <c r="B25" i="1"/>
  <c r="A27" i="1" l="1"/>
  <c r="B26" i="1"/>
  <c r="A28" i="1" l="1"/>
  <c r="B27" i="1"/>
  <c r="B28" i="1" l="1"/>
  <c r="A29" i="1"/>
  <c r="A30" i="1" l="1"/>
  <c r="B29" i="1"/>
  <c r="A31" i="1" l="1"/>
  <c r="B30" i="1"/>
  <c r="A32" i="1" l="1"/>
  <c r="B31" i="1"/>
  <c r="A33" i="1" l="1"/>
  <c r="B32" i="1"/>
  <c r="B33" i="1" l="1"/>
  <c r="A34" i="1"/>
  <c r="B34" i="1" l="1"/>
  <c r="A35" i="1"/>
  <c r="B35" i="1" l="1"/>
  <c r="A36" i="1"/>
  <c r="A37" i="1" l="1"/>
  <c r="B36" i="1"/>
  <c r="A38" i="1" l="1"/>
  <c r="B37" i="1"/>
  <c r="B38" i="1" l="1"/>
  <c r="A39" i="1"/>
  <c r="B39" i="1" l="1"/>
  <c r="A40" i="1"/>
  <c r="A41" i="1" l="1"/>
  <c r="B40" i="1"/>
  <c r="B41" i="1" l="1"/>
  <c r="A42" i="1"/>
  <c r="B42" i="1" l="1"/>
  <c r="A43" i="1"/>
  <c r="A44" i="1" l="1"/>
  <c r="B43" i="1"/>
  <c r="B44" i="1" l="1"/>
  <c r="A45" i="1"/>
  <c r="A46" i="1" l="1"/>
  <c r="B45" i="1"/>
  <c r="B46" i="1" l="1"/>
  <c r="A47" i="1"/>
  <c r="B47" i="1" l="1"/>
  <c r="A48" i="1"/>
  <c r="A49" i="1" l="1"/>
  <c r="B48" i="1"/>
  <c r="A50" i="1" l="1"/>
  <c r="B49" i="1"/>
  <c r="B50" i="1" l="1"/>
  <c r="A51" i="1"/>
  <c r="A52" i="1" l="1"/>
  <c r="B51" i="1"/>
  <c r="B52" i="1" l="1"/>
  <c r="A53" i="1"/>
  <c r="B53" i="1" l="1"/>
  <c r="A54" i="1"/>
  <c r="B54" i="1" l="1"/>
  <c r="A55" i="1"/>
  <c r="A56" i="1" l="1"/>
  <c r="B55" i="1"/>
  <c r="B56" i="1" l="1"/>
  <c r="A57" i="1"/>
  <c r="B57" i="1" l="1"/>
  <c r="A58" i="1"/>
  <c r="B58" i="1" l="1"/>
  <c r="A59" i="1"/>
  <c r="B59" i="1" l="1"/>
  <c r="A60" i="1"/>
  <c r="A61" i="1" l="1"/>
  <c r="B60" i="1"/>
  <c r="A62" i="1" l="1"/>
  <c r="B61" i="1"/>
  <c r="B62" i="1" l="1"/>
  <c r="A63" i="1"/>
  <c r="A64" i="1" l="1"/>
  <c r="B63" i="1"/>
  <c r="B64" i="1" l="1"/>
  <c r="A65" i="1"/>
  <c r="B65" i="1" l="1"/>
  <c r="A66" i="1"/>
  <c r="A67" i="1" l="1"/>
  <c r="B66" i="1"/>
  <c r="A68" i="1" l="1"/>
  <c r="B67" i="1"/>
  <c r="B68" i="1" l="1"/>
  <c r="A69" i="1"/>
  <c r="B69" i="1" l="1"/>
  <c r="A70" i="1"/>
  <c r="A71" i="1" l="1"/>
  <c r="B70" i="1"/>
  <c r="B71" i="1" l="1"/>
  <c r="A72" i="1"/>
  <c r="A73" i="1" l="1"/>
  <c r="B72" i="1"/>
  <c r="B73" i="1" l="1"/>
  <c r="A74" i="1"/>
  <c r="B74" i="1" l="1"/>
  <c r="A75" i="1"/>
  <c r="A76" i="1" l="1"/>
  <c r="B75" i="1"/>
  <c r="B76" i="1" l="1"/>
  <c r="A77" i="1"/>
  <c r="B77" i="1" l="1"/>
  <c r="A78" i="1"/>
  <c r="A79" i="1" l="1"/>
  <c r="B78" i="1"/>
  <c r="B79" i="1" l="1"/>
  <c r="A80" i="1"/>
  <c r="B80" i="1" l="1"/>
  <c r="A81" i="1"/>
  <c r="B81" i="1" l="1"/>
  <c r="A82" i="1"/>
  <c r="B82" i="1" l="1"/>
  <c r="A83" i="1"/>
  <c r="A84" i="1" l="1"/>
  <c r="B83" i="1"/>
  <c r="A85" i="1" l="1"/>
  <c r="B84" i="1"/>
  <c r="A86" i="1" l="1"/>
  <c r="B85" i="1"/>
  <c r="B86" i="1" l="1"/>
  <c r="A87" i="1"/>
  <c r="A88" i="1" l="1"/>
  <c r="B87" i="1"/>
  <c r="A89" i="1" l="1"/>
  <c r="B88" i="1"/>
  <c r="A90" i="1" l="1"/>
  <c r="B89" i="1"/>
  <c r="B90" i="1" l="1"/>
  <c r="A91" i="1"/>
  <c r="A92" i="1" l="1"/>
  <c r="B91" i="1"/>
  <c r="B92" i="1" l="1"/>
  <c r="A93" i="1"/>
  <c r="B93" i="1" l="1"/>
  <c r="A94" i="1"/>
  <c r="A95" i="1" l="1"/>
  <c r="B94" i="1"/>
  <c r="B95" i="1" l="1"/>
  <c r="A96" i="1"/>
  <c r="B96" i="1" l="1"/>
  <c r="A97" i="1"/>
  <c r="B97" i="1" l="1"/>
  <c r="A98" i="1"/>
  <c r="A99" i="1" l="1"/>
  <c r="B98" i="1"/>
  <c r="A100" i="1" l="1"/>
  <c r="B99" i="1"/>
  <c r="B100" i="1" l="1"/>
  <c r="A101" i="1"/>
  <c r="B101" i="1" l="1"/>
  <c r="A102" i="1"/>
  <c r="B102" i="1" l="1"/>
  <c r="A103" i="1"/>
  <c r="A104" i="1" l="1"/>
  <c r="B103" i="1"/>
  <c r="A105" i="1" l="1"/>
  <c r="B104" i="1"/>
  <c r="A106" i="1" l="1"/>
  <c r="B105" i="1"/>
  <c r="B106" i="1" l="1"/>
  <c r="A107" i="1"/>
  <c r="B107" i="1" l="1"/>
  <c r="A108" i="1"/>
  <c r="A109" i="1" l="1"/>
  <c r="B108" i="1"/>
  <c r="A110" i="1" l="1"/>
  <c r="B109" i="1"/>
  <c r="A111" i="1" l="1"/>
  <c r="B110" i="1"/>
  <c r="B111" i="1" l="1"/>
  <c r="A112" i="1"/>
  <c r="A113" i="1" l="1"/>
  <c r="B112" i="1"/>
  <c r="A114" i="1" l="1"/>
  <c r="B113" i="1"/>
  <c r="B114" i="1" l="1"/>
  <c r="A115" i="1"/>
  <c r="A116" i="1" l="1"/>
  <c r="B115" i="1"/>
  <c r="A117" i="1" l="1"/>
  <c r="B116" i="1"/>
  <c r="B117" i="1" l="1"/>
  <c r="A118" i="1"/>
  <c r="B118" i="1" l="1"/>
  <c r="A119" i="1"/>
  <c r="A120" i="1" l="1"/>
  <c r="B119" i="1"/>
  <c r="A121" i="1" l="1"/>
  <c r="B121" i="1" s="1"/>
  <c r="B120" i="1"/>
  <c r="N23" i="1"/>
  <c r="I24" i="1" s="1"/>
  <c r="H23" i="1"/>
  <c r="C24" i="1" s="1"/>
  <c r="P24" i="1" l="1"/>
  <c r="D24" i="1"/>
  <c r="Q24" i="1" s="1"/>
  <c r="J24" i="1"/>
  <c r="K24" i="1" l="1"/>
  <c r="E24" i="1"/>
  <c r="F24" i="1" l="1"/>
  <c r="L24" i="1"/>
  <c r="R24" i="1"/>
  <c r="G24" i="1" s="1"/>
  <c r="H24" i="1" s="1"/>
  <c r="C25" i="1" s="1"/>
  <c r="M24" i="1" l="1"/>
  <c r="N24" i="1" s="1"/>
  <c r="S24" i="1"/>
  <c r="T24" i="1" s="1"/>
  <c r="O25" i="1" s="1"/>
  <c r="I25" i="1" l="1"/>
  <c r="J25" i="1" s="1"/>
  <c r="D25" i="1"/>
  <c r="P25" i="1"/>
  <c r="E25" i="1" l="1"/>
  <c r="Q25" i="1"/>
  <c r="K25" i="1"/>
  <c r="L25" i="1" s="1"/>
  <c r="F25" i="1" l="1"/>
  <c r="R25" i="1"/>
  <c r="G25" i="1" l="1"/>
  <c r="H25" i="1" s="1"/>
  <c r="C26" i="1" s="1"/>
  <c r="S25" i="1"/>
  <c r="T25" i="1" s="1"/>
  <c r="O26" i="1" s="1"/>
  <c r="M25" i="1"/>
  <c r="N25" i="1" s="1"/>
  <c r="I26" i="1" l="1"/>
  <c r="D26" i="1"/>
  <c r="P26" i="1"/>
  <c r="J26" i="1" l="1"/>
  <c r="E26" i="1" s="1"/>
  <c r="K26" i="1"/>
  <c r="Q26" i="1"/>
  <c r="L26" i="1" l="1"/>
  <c r="F26" i="1"/>
  <c r="R26" i="1"/>
  <c r="G26" i="1" l="1"/>
  <c r="H26" i="1" s="1"/>
  <c r="C27" i="1" s="1"/>
  <c r="M26" i="1"/>
  <c r="N26" i="1" s="1"/>
  <c r="I27" i="1" s="1"/>
  <c r="S26" i="1"/>
  <c r="T26" i="1" s="1"/>
  <c r="O27" i="1" s="1"/>
  <c r="J27" i="1" l="1"/>
  <c r="D27" i="1"/>
  <c r="P27" i="1"/>
  <c r="E27" i="1" l="1"/>
  <c r="K27" i="1"/>
  <c r="Q27" i="1"/>
  <c r="F27" i="1" l="1"/>
  <c r="L27" i="1"/>
  <c r="R27" i="1"/>
  <c r="G27" i="1" s="1"/>
  <c r="H27" i="1" s="1"/>
  <c r="C28" i="1" s="1"/>
  <c r="M27" i="1" l="1"/>
  <c r="N27" i="1" s="1"/>
  <c r="I28" i="1" s="1"/>
  <c r="J28" i="1" s="1"/>
  <c r="S27" i="1"/>
  <c r="T27" i="1" s="1"/>
  <c r="O28" i="1" s="1"/>
  <c r="D28" i="1" l="1"/>
  <c r="P28" i="1"/>
  <c r="E28" i="1" s="1"/>
  <c r="K28" i="1" l="1"/>
  <c r="L28" i="1" s="1"/>
  <c r="Q28" i="1"/>
  <c r="F28" i="1" s="1"/>
  <c r="M28" i="1" l="1"/>
  <c r="N28" i="1" s="1"/>
  <c r="I29" i="1" s="1"/>
  <c r="R28" i="1"/>
  <c r="G28" i="1" s="1"/>
  <c r="H28" i="1" s="1"/>
  <c r="C29" i="1" s="1"/>
  <c r="J29" i="1" l="1"/>
  <c r="S28" i="1"/>
  <c r="T28" i="1" s="1"/>
  <c r="O29" i="1" s="1"/>
  <c r="D29" i="1" l="1"/>
  <c r="P29" i="1"/>
  <c r="E29" i="1" s="1"/>
  <c r="Q29" i="1" l="1"/>
  <c r="K29" i="1"/>
  <c r="L29" i="1" s="1"/>
  <c r="F29" i="1" l="1"/>
  <c r="R29" i="1"/>
  <c r="G29" i="1" l="1"/>
  <c r="H29" i="1" s="1"/>
  <c r="C30" i="1" s="1"/>
  <c r="M29" i="1"/>
  <c r="N29" i="1" s="1"/>
  <c r="I30" i="1" s="1"/>
  <c r="S29" i="1"/>
  <c r="T29" i="1" s="1"/>
  <c r="O30" i="1" s="1"/>
  <c r="D30" i="1" l="1"/>
  <c r="J30" i="1"/>
  <c r="K30" i="1" s="1"/>
  <c r="P30" i="1"/>
  <c r="E30" i="1" s="1"/>
  <c r="Q30" i="1" l="1"/>
  <c r="F30" i="1" s="1"/>
  <c r="L30" i="1"/>
  <c r="M30" i="1" l="1"/>
  <c r="N30" i="1" s="1"/>
  <c r="I31" i="1" s="1"/>
  <c r="R30" i="1"/>
  <c r="G30" i="1" s="1"/>
  <c r="H30" i="1" s="1"/>
  <c r="C31" i="1" s="1"/>
  <c r="S30" i="1" l="1"/>
  <c r="T30" i="1" s="1"/>
  <c r="O31" i="1" s="1"/>
  <c r="D31" i="1" s="1"/>
  <c r="J31" i="1"/>
  <c r="K31" i="1" l="1"/>
  <c r="P31" i="1"/>
  <c r="Q31" i="1" s="1"/>
  <c r="E31" i="1"/>
  <c r="L31" i="1" l="1"/>
  <c r="R31" i="1"/>
  <c r="F31" i="1"/>
  <c r="S31" i="1" l="1"/>
  <c r="T31" i="1" s="1"/>
  <c r="O32" i="1" s="1"/>
  <c r="M31" i="1"/>
  <c r="N31" i="1" s="1"/>
  <c r="I32" i="1" s="1"/>
  <c r="G31" i="1"/>
  <c r="H31" i="1" s="1"/>
  <c r="C32" i="1" s="1"/>
  <c r="J32" i="1" l="1"/>
  <c r="P32" i="1"/>
  <c r="D32" i="1"/>
  <c r="K32" i="1" s="1"/>
  <c r="E32" i="1" l="1"/>
  <c r="Q32" i="1"/>
  <c r="F32" i="1" s="1"/>
  <c r="R32" i="1" l="1"/>
  <c r="L32" i="1"/>
  <c r="M32" i="1" s="1"/>
  <c r="N32" i="1" s="1"/>
  <c r="I33" i="1" s="1"/>
  <c r="G32" i="1" l="1"/>
  <c r="H32" i="1" s="1"/>
  <c r="C33" i="1" s="1"/>
  <c r="S32" i="1"/>
  <c r="T32" i="1" s="1"/>
  <c r="O33" i="1" s="1"/>
  <c r="D33" i="1" s="1"/>
  <c r="P33" i="1" l="1"/>
  <c r="J33" i="1"/>
  <c r="K33" i="1"/>
  <c r="E33" i="1" l="1"/>
  <c r="Q33" i="1"/>
  <c r="F33" i="1" s="1"/>
  <c r="R33" i="1" l="1"/>
  <c r="L33" i="1"/>
  <c r="M33" i="1" s="1"/>
  <c r="N33" i="1" s="1"/>
  <c r="I34" i="1" s="1"/>
  <c r="G33" i="1" l="1"/>
  <c r="H33" i="1" s="1"/>
  <c r="S33" i="1"/>
  <c r="T33" i="1" s="1"/>
  <c r="O34" i="1" s="1"/>
  <c r="C34" i="1" l="1"/>
  <c r="J34" i="1" s="1"/>
  <c r="D34" i="1"/>
  <c r="P34" i="1"/>
  <c r="K34" i="1" l="1"/>
  <c r="Q34" i="1"/>
  <c r="E34" i="1"/>
  <c r="L34" i="1" l="1"/>
  <c r="R34" i="1"/>
  <c r="F34" i="1"/>
  <c r="G34" i="1" l="1"/>
  <c r="H34" i="1" s="1"/>
  <c r="C35" i="1" s="1"/>
  <c r="S34" i="1"/>
  <c r="T34" i="1" s="1"/>
  <c r="O35" i="1" s="1"/>
  <c r="M34" i="1"/>
  <c r="N34" i="1" s="1"/>
  <c r="I35" i="1" s="1"/>
  <c r="D35" i="1" l="1"/>
  <c r="P35" i="1"/>
  <c r="J35" i="1"/>
  <c r="Q35" i="1" l="1"/>
  <c r="K35" i="1"/>
  <c r="E35" i="1"/>
  <c r="R35" i="1" s="1"/>
  <c r="F35" i="1" l="1"/>
  <c r="L35" i="1"/>
  <c r="S35" i="1"/>
  <c r="T35" i="1" s="1"/>
  <c r="O36" i="1" s="1"/>
  <c r="M35" i="1"/>
  <c r="N35" i="1" s="1"/>
  <c r="I36" i="1" s="1"/>
  <c r="G35" i="1"/>
  <c r="H35" i="1" s="1"/>
  <c r="C36" i="1" s="1"/>
  <c r="J36" i="1" l="1"/>
  <c r="P36" i="1"/>
  <c r="D36" i="1"/>
  <c r="Q36" i="1" l="1"/>
  <c r="K36" i="1"/>
  <c r="E36" i="1"/>
  <c r="R36" i="1" s="1"/>
  <c r="L36" i="1" l="1"/>
  <c r="F36" i="1"/>
  <c r="G36" i="1" l="1"/>
  <c r="H36" i="1" s="1"/>
  <c r="C37" i="1" s="1"/>
  <c r="S36" i="1"/>
  <c r="T36" i="1" s="1"/>
  <c r="O37" i="1" s="1"/>
  <c r="M36" i="1"/>
  <c r="N36" i="1" s="1"/>
  <c r="I37" i="1" s="1"/>
  <c r="P37" i="1" l="1"/>
  <c r="J37" i="1"/>
  <c r="D37" i="1"/>
  <c r="K37" i="1" s="1"/>
  <c r="E37" i="1" l="1"/>
  <c r="Q37" i="1"/>
  <c r="F37" i="1" s="1"/>
  <c r="R37" i="1" l="1"/>
  <c r="L37" i="1"/>
  <c r="M37" i="1" s="1"/>
  <c r="N37" i="1" s="1"/>
  <c r="I38" i="1" s="1"/>
  <c r="G37" i="1" l="1"/>
  <c r="H37" i="1" s="1"/>
  <c r="C38" i="1" s="1"/>
  <c r="J38" i="1" s="1"/>
  <c r="S37" i="1"/>
  <c r="T37" i="1" s="1"/>
  <c r="O38" i="1" s="1"/>
  <c r="D38" i="1" l="1"/>
  <c r="P38" i="1"/>
  <c r="E38" i="1" s="1"/>
  <c r="K38" i="1"/>
  <c r="L38" i="1" l="1"/>
  <c r="Q38" i="1"/>
  <c r="F38" i="1" s="1"/>
  <c r="M38" i="1" l="1"/>
  <c r="N38" i="1" s="1"/>
  <c r="I39" i="1" s="1"/>
  <c r="R38" i="1"/>
  <c r="G38" i="1" s="1"/>
  <c r="H38" i="1" s="1"/>
  <c r="C39" i="1" s="1"/>
  <c r="J39" i="1" l="1"/>
  <c r="S38" i="1"/>
  <c r="T38" i="1" s="1"/>
  <c r="O39" i="1" s="1"/>
  <c r="D39" i="1" s="1"/>
  <c r="K39" i="1" l="1"/>
  <c r="P39" i="1"/>
  <c r="E39" i="1" s="1"/>
  <c r="L39" i="1" l="1"/>
  <c r="Q39" i="1"/>
  <c r="F39" i="1" s="1"/>
  <c r="M39" i="1" l="1"/>
  <c r="N39" i="1" s="1"/>
  <c r="I40" i="1" s="1"/>
  <c r="R39" i="1"/>
  <c r="G39" i="1" s="1"/>
  <c r="H39" i="1" s="1"/>
  <c r="C40" i="1" s="1"/>
  <c r="J40" i="1" l="1"/>
  <c r="S39" i="1"/>
  <c r="T39" i="1" s="1"/>
  <c r="O40" i="1" s="1"/>
  <c r="P40" i="1" s="1"/>
  <c r="D40" i="1" l="1"/>
  <c r="E40" i="1"/>
  <c r="K40" i="1" l="1"/>
  <c r="Q40" i="1"/>
  <c r="F40" i="1" s="1"/>
  <c r="R40" i="1" l="1"/>
  <c r="L40" i="1"/>
  <c r="M40" i="1" s="1"/>
  <c r="G40" i="1" l="1"/>
  <c r="H40" i="1" s="1"/>
  <c r="C41" i="1" s="1"/>
  <c r="S40" i="1"/>
  <c r="T40" i="1" s="1"/>
  <c r="O41" i="1" s="1"/>
  <c r="N40" i="1"/>
  <c r="I41" i="1" l="1"/>
  <c r="D41" i="1"/>
  <c r="P41" i="1"/>
  <c r="J41" i="1" l="1"/>
  <c r="K41" i="1" s="1"/>
  <c r="Q41" i="1"/>
  <c r="E41" i="1" l="1"/>
  <c r="L41" i="1" s="1"/>
  <c r="R41" i="1" l="1"/>
  <c r="F41" i="1"/>
  <c r="M41" i="1" s="1"/>
  <c r="N41" i="1" s="1"/>
  <c r="I42" i="1" s="1"/>
  <c r="S41" i="1" l="1"/>
  <c r="T41" i="1" s="1"/>
  <c r="O42" i="1" s="1"/>
  <c r="G41" i="1"/>
  <c r="H41" i="1" s="1"/>
  <c r="C42" i="1" s="1"/>
  <c r="D42" i="1" s="1"/>
  <c r="J42" i="1" l="1"/>
  <c r="P42" i="1"/>
  <c r="E42" i="1" s="1"/>
  <c r="K42" i="1"/>
  <c r="L42" i="1" l="1"/>
  <c r="Q42" i="1"/>
  <c r="F42" i="1" s="1"/>
  <c r="M42" i="1" s="1"/>
  <c r="N42" i="1" s="1"/>
  <c r="I43" i="1" s="1"/>
  <c r="R42" i="1" l="1"/>
  <c r="G42" i="1"/>
  <c r="H42" i="1" s="1"/>
  <c r="C43" i="1" s="1"/>
  <c r="J43" i="1" s="1"/>
  <c r="S42" i="1"/>
  <c r="T42" i="1" s="1"/>
  <c r="O43" i="1" s="1"/>
  <c r="D43" i="1" l="1"/>
  <c r="P43" i="1"/>
  <c r="Q43" i="1" l="1"/>
  <c r="E43" i="1"/>
  <c r="K43" i="1"/>
  <c r="L43" i="1" l="1"/>
  <c r="R43" i="1"/>
  <c r="F43" i="1"/>
  <c r="G43" i="1" l="1"/>
  <c r="H43" i="1" s="1"/>
  <c r="C44" i="1" s="1"/>
  <c r="S43" i="1"/>
  <c r="T43" i="1" s="1"/>
  <c r="O44" i="1" s="1"/>
  <c r="M43" i="1"/>
  <c r="N43" i="1" s="1"/>
  <c r="I44" i="1" s="1"/>
  <c r="J44" i="1" l="1"/>
  <c r="P44" i="1"/>
  <c r="D44" i="1"/>
  <c r="Q44" i="1" s="1"/>
  <c r="E44" i="1" l="1"/>
  <c r="R44" i="1" s="1"/>
  <c r="K44" i="1"/>
  <c r="F44" i="1" l="1"/>
  <c r="S44" i="1" s="1"/>
  <c r="T44" i="1" s="1"/>
  <c r="O45" i="1" s="1"/>
  <c r="L44" i="1"/>
  <c r="M44" i="1" l="1"/>
  <c r="N44" i="1" s="1"/>
  <c r="I45" i="1" s="1"/>
  <c r="G44" i="1"/>
  <c r="H44" i="1" s="1"/>
  <c r="C45" i="1" s="1"/>
  <c r="D45" i="1" s="1"/>
  <c r="P45" i="1" l="1"/>
  <c r="Q45" i="1" s="1"/>
  <c r="J45" i="1"/>
  <c r="K45" i="1" s="1"/>
  <c r="E45" i="1" l="1"/>
  <c r="R45" i="1" l="1"/>
  <c r="L45" i="1"/>
  <c r="F45" i="1"/>
  <c r="M45" i="1" l="1"/>
  <c r="N45" i="1" s="1"/>
  <c r="I46" i="1" s="1"/>
  <c r="S45" i="1"/>
  <c r="T45" i="1" s="1"/>
  <c r="O46" i="1" s="1"/>
  <c r="G45" i="1"/>
  <c r="H45" i="1" s="1"/>
  <c r="C46" i="1" s="1"/>
  <c r="D46" i="1" l="1"/>
  <c r="J46" i="1"/>
  <c r="P46" i="1"/>
  <c r="K46" i="1" l="1"/>
  <c r="Q46" i="1"/>
  <c r="E46" i="1"/>
  <c r="L46" i="1" l="1"/>
  <c r="R46" i="1"/>
  <c r="F46" i="1"/>
  <c r="G46" i="1" l="1"/>
  <c r="H46" i="1" s="1"/>
  <c r="C47" i="1" s="1"/>
  <c r="M46" i="1"/>
  <c r="S46" i="1"/>
  <c r="T46" i="1" s="1"/>
  <c r="O47" i="1" s="1"/>
  <c r="N46" i="1"/>
  <c r="I47" i="1" s="1"/>
  <c r="P47" i="1" l="1"/>
  <c r="J47" i="1"/>
  <c r="D47" i="1"/>
  <c r="E47" i="1" l="1"/>
  <c r="Q47" i="1"/>
  <c r="R47" i="1" s="1"/>
  <c r="K47" i="1"/>
  <c r="F47" i="1" l="1"/>
  <c r="S47" i="1" s="1"/>
  <c r="T47" i="1" s="1"/>
  <c r="O48" i="1" s="1"/>
  <c r="L47" i="1"/>
  <c r="M47" i="1" l="1"/>
  <c r="N47" i="1" s="1"/>
  <c r="I48" i="1" s="1"/>
  <c r="G47" i="1"/>
  <c r="H47" i="1" s="1"/>
  <c r="C48" i="1" s="1"/>
  <c r="D48" i="1" s="1"/>
  <c r="J48" i="1" l="1"/>
  <c r="K48" i="1" s="1"/>
  <c r="P48" i="1"/>
  <c r="Q48" i="1" s="1"/>
  <c r="E48" i="1" l="1"/>
  <c r="F48" i="1" s="1"/>
  <c r="L48" i="1" l="1"/>
  <c r="M48" i="1" s="1"/>
  <c r="N48" i="1" s="1"/>
  <c r="I49" i="1" s="1"/>
  <c r="R48" i="1"/>
  <c r="S48" i="1" s="1"/>
  <c r="T48" i="1" s="1"/>
  <c r="O49" i="1" s="1"/>
  <c r="G48" i="1" l="1"/>
  <c r="H48" i="1" s="1"/>
  <c r="C49" i="1" s="1"/>
  <c r="J49" i="1" l="1"/>
  <c r="P49" i="1"/>
  <c r="D49" i="1"/>
  <c r="K49" i="1" s="1"/>
  <c r="E49" i="1" l="1"/>
  <c r="L49" i="1" s="1"/>
  <c r="Q49" i="1"/>
  <c r="F49" i="1" s="1"/>
  <c r="R49" i="1" l="1"/>
  <c r="G49" i="1" s="1"/>
  <c r="H49" i="1" s="1"/>
  <c r="C50" i="1" s="1"/>
  <c r="S49" i="1"/>
  <c r="T49" i="1" s="1"/>
  <c r="O50" i="1" s="1"/>
  <c r="M49" i="1"/>
  <c r="N49" i="1" s="1"/>
  <c r="I50" i="1" s="1"/>
  <c r="P50" i="1" l="1"/>
  <c r="D50" i="1"/>
  <c r="Q50" i="1" s="1"/>
  <c r="J50" i="1"/>
  <c r="E50" i="1" s="1"/>
  <c r="K50" i="1" l="1"/>
  <c r="L50" i="1"/>
  <c r="R50" i="1"/>
  <c r="F50" i="1"/>
  <c r="G50" i="1" l="1"/>
  <c r="H50" i="1" s="1"/>
  <c r="C51" i="1" s="1"/>
  <c r="S50" i="1"/>
  <c r="T50" i="1" s="1"/>
  <c r="O51" i="1" s="1"/>
  <c r="M50" i="1"/>
  <c r="N50" i="1" s="1"/>
  <c r="I51" i="1" s="1"/>
  <c r="P51" i="1" l="1"/>
  <c r="J51" i="1"/>
  <c r="D51" i="1"/>
  <c r="K51" i="1" s="1"/>
  <c r="E51" i="1" l="1"/>
  <c r="L51" i="1" s="1"/>
  <c r="Q51" i="1"/>
  <c r="F51" i="1" s="1"/>
  <c r="M51" i="1" l="1"/>
  <c r="N51" i="1" s="1"/>
  <c r="I52" i="1" s="1"/>
  <c r="R51" i="1"/>
  <c r="G51" i="1" s="1"/>
  <c r="H51" i="1" s="1"/>
  <c r="C52" i="1" s="1"/>
  <c r="J52" i="1" l="1"/>
  <c r="S51" i="1"/>
  <c r="T51" i="1" s="1"/>
  <c r="O52" i="1" s="1"/>
  <c r="D52" i="1" s="1"/>
  <c r="K52" i="1" l="1"/>
  <c r="P52" i="1"/>
  <c r="E52" i="1" s="1"/>
  <c r="L52" i="1" l="1"/>
  <c r="Q52" i="1"/>
  <c r="F52" i="1" s="1"/>
  <c r="M52" i="1" l="1"/>
  <c r="N52" i="1" s="1"/>
  <c r="I53" i="1" s="1"/>
  <c r="R52" i="1"/>
  <c r="G52" i="1" s="1"/>
  <c r="H52" i="1" s="1"/>
  <c r="C53" i="1" s="1"/>
  <c r="J53" i="1" l="1"/>
  <c r="S52" i="1"/>
  <c r="T52" i="1" s="1"/>
  <c r="O53" i="1" s="1"/>
  <c r="D53" i="1" l="1"/>
  <c r="P53" i="1"/>
  <c r="E53" i="1" s="1"/>
  <c r="K53" i="1" l="1"/>
  <c r="L53" i="1" s="1"/>
  <c r="Q53" i="1"/>
  <c r="F53" i="1" s="1"/>
  <c r="M53" i="1" l="1"/>
  <c r="N53" i="1" s="1"/>
  <c r="I54" i="1" s="1"/>
  <c r="R53" i="1"/>
  <c r="G53" i="1" s="1"/>
  <c r="H53" i="1" s="1"/>
  <c r="C54" i="1" s="1"/>
  <c r="J54" i="1" l="1"/>
  <c r="S53" i="1"/>
  <c r="T53" i="1" s="1"/>
  <c r="O54" i="1" s="1"/>
  <c r="D54" i="1" l="1"/>
  <c r="P54" i="1"/>
  <c r="E54" i="1" s="1"/>
  <c r="Q54" i="1" l="1"/>
  <c r="K54" i="1"/>
  <c r="F54" i="1" l="1"/>
  <c r="R54" i="1"/>
  <c r="L54" i="1"/>
  <c r="M54" i="1" s="1"/>
  <c r="G54" i="1" l="1"/>
  <c r="H54" i="1" s="1"/>
  <c r="C55" i="1" s="1"/>
  <c r="N54" i="1"/>
  <c r="S54" i="1"/>
  <c r="T54" i="1" s="1"/>
  <c r="O55" i="1" s="1"/>
  <c r="I55" i="1" l="1"/>
  <c r="D55" i="1"/>
  <c r="P55" i="1"/>
  <c r="J55" i="1" l="1"/>
  <c r="E55" i="1"/>
  <c r="K55" i="1"/>
  <c r="Q55" i="1"/>
  <c r="F55" i="1" l="1"/>
  <c r="L55" i="1"/>
  <c r="M55" i="1" s="1"/>
  <c r="N55" i="1" s="1"/>
  <c r="I56" i="1" s="1"/>
  <c r="R55" i="1"/>
  <c r="G55" i="1" l="1"/>
  <c r="H55" i="1" s="1"/>
  <c r="C56" i="1" s="1"/>
  <c r="J56" i="1" s="1"/>
  <c r="S55" i="1"/>
  <c r="T55" i="1" s="1"/>
  <c r="O56" i="1" s="1"/>
  <c r="D56" i="1" l="1"/>
  <c r="P56" i="1"/>
  <c r="E56" i="1" l="1"/>
  <c r="K56" i="1"/>
  <c r="Q56" i="1"/>
  <c r="F56" i="1" l="1"/>
  <c r="L56" i="1"/>
  <c r="R56" i="1"/>
  <c r="G56" i="1" l="1"/>
  <c r="H56" i="1" s="1"/>
  <c r="C57" i="1" s="1"/>
  <c r="M56" i="1"/>
  <c r="N56" i="1" s="1"/>
  <c r="I57" i="1" s="1"/>
  <c r="S56" i="1"/>
  <c r="T56" i="1" s="1"/>
  <c r="O57" i="1" s="1"/>
  <c r="D57" i="1" s="1"/>
  <c r="J57" i="1" l="1"/>
  <c r="P57" i="1"/>
  <c r="E57" i="1" s="1"/>
  <c r="K57" i="1"/>
  <c r="L57" i="1" l="1"/>
  <c r="Q57" i="1"/>
  <c r="F57" i="1" s="1"/>
  <c r="R57" i="1" l="1"/>
  <c r="G57" i="1" s="1"/>
  <c r="H57" i="1" s="1"/>
  <c r="C58" i="1" s="1"/>
  <c r="M57" i="1"/>
  <c r="N57" i="1" s="1"/>
  <c r="I58" i="1" s="1"/>
  <c r="S57" i="1" l="1"/>
  <c r="T57" i="1" s="1"/>
  <c r="O58" i="1" s="1"/>
  <c r="D58" i="1" s="1"/>
  <c r="J58" i="1"/>
  <c r="P58" i="1" l="1"/>
  <c r="Q58" i="1"/>
  <c r="K58" i="1"/>
  <c r="E58" i="1"/>
  <c r="F58" i="1" s="1"/>
  <c r="R58" i="1" l="1"/>
  <c r="L58" i="1"/>
  <c r="M58" i="1" s="1"/>
  <c r="N58" i="1" s="1"/>
  <c r="I59" i="1" s="1"/>
  <c r="S58" i="1"/>
  <c r="T58" i="1" s="1"/>
  <c r="O59" i="1" s="1"/>
  <c r="G58" i="1" l="1"/>
  <c r="H58" i="1" s="1"/>
  <c r="C59" i="1" s="1"/>
  <c r="J59" i="1" s="1"/>
  <c r="P59" i="1" l="1"/>
  <c r="D59" i="1"/>
  <c r="K59" i="1" s="1"/>
  <c r="E59" i="1" l="1"/>
  <c r="Q59" i="1"/>
  <c r="R59" i="1" s="1"/>
  <c r="L59" i="1"/>
  <c r="F59" i="1"/>
  <c r="G59" i="1" l="1"/>
  <c r="H59" i="1" s="1"/>
  <c r="C60" i="1" s="1"/>
  <c r="M59" i="1"/>
  <c r="S59" i="1"/>
  <c r="T59" i="1" s="1"/>
  <c r="O60" i="1" s="1"/>
  <c r="N59" i="1"/>
  <c r="I60" i="1" l="1"/>
  <c r="D60" i="1" s="1"/>
  <c r="P60" i="1"/>
  <c r="J60" i="1" l="1"/>
  <c r="E60" i="1" s="1"/>
  <c r="Q60" i="1"/>
  <c r="K60" i="1"/>
  <c r="L60" i="1" l="1"/>
  <c r="F60" i="1"/>
  <c r="M60" i="1" s="1"/>
  <c r="N60" i="1" s="1"/>
  <c r="I61" i="1" s="1"/>
  <c r="R60" i="1"/>
  <c r="G60" i="1" l="1"/>
  <c r="H60" i="1" s="1"/>
  <c r="C61" i="1" s="1"/>
  <c r="J61" i="1" s="1"/>
  <c r="S60" i="1"/>
  <c r="T60" i="1" s="1"/>
  <c r="O61" i="1" s="1"/>
  <c r="P61" i="1" l="1"/>
  <c r="D61" i="1"/>
  <c r="E61" i="1" s="1"/>
  <c r="K61" i="1" l="1"/>
  <c r="Q61" i="1"/>
  <c r="F61" i="1" l="1"/>
  <c r="R61" i="1"/>
  <c r="L61" i="1"/>
  <c r="G61" i="1" l="1"/>
  <c r="H61" i="1" s="1"/>
  <c r="C62" i="1" s="1"/>
  <c r="S61" i="1"/>
  <c r="T61" i="1" s="1"/>
  <c r="O62" i="1" s="1"/>
  <c r="M61" i="1"/>
  <c r="N61" i="1" s="1"/>
  <c r="I62" i="1" l="1"/>
  <c r="D62" i="1"/>
  <c r="P62" i="1"/>
  <c r="J62" i="1" l="1"/>
  <c r="E62" i="1" s="1"/>
  <c r="Q62" i="1"/>
  <c r="K62" i="1"/>
  <c r="L62" i="1" l="1"/>
  <c r="F62" i="1"/>
  <c r="M62" i="1" s="1"/>
  <c r="N62" i="1" s="1"/>
  <c r="I63" i="1" s="1"/>
  <c r="R62" i="1"/>
  <c r="G62" i="1" l="1"/>
  <c r="H62" i="1" s="1"/>
  <c r="C63" i="1" s="1"/>
  <c r="J63" i="1" s="1"/>
  <c r="S62" i="1"/>
  <c r="T62" i="1" s="1"/>
  <c r="O63" i="1" s="1"/>
  <c r="D63" i="1" s="1"/>
  <c r="K63" i="1" l="1"/>
  <c r="P63" i="1"/>
  <c r="E63" i="1" s="1"/>
  <c r="Q63" i="1" l="1"/>
  <c r="F63" i="1" s="1"/>
  <c r="L63" i="1"/>
  <c r="M63" i="1" l="1"/>
  <c r="N63" i="1" s="1"/>
  <c r="I64" i="1" s="1"/>
  <c r="R63" i="1"/>
  <c r="G63" i="1" s="1"/>
  <c r="H63" i="1" s="1"/>
  <c r="C64" i="1" s="1"/>
  <c r="S63" i="1" l="1"/>
  <c r="T63" i="1" s="1"/>
  <c r="O64" i="1" s="1"/>
  <c r="P64" i="1" s="1"/>
  <c r="J64" i="1"/>
  <c r="D64" i="1" l="1"/>
  <c r="E64" i="1" s="1"/>
  <c r="Q64" i="1" l="1"/>
  <c r="K64" i="1"/>
  <c r="L64" i="1" s="1"/>
  <c r="F64" i="1" l="1"/>
  <c r="M64" i="1" s="1"/>
  <c r="N64" i="1" s="1"/>
  <c r="I65" i="1" s="1"/>
  <c r="R64" i="1"/>
  <c r="G64" i="1" s="1"/>
  <c r="H64" i="1" s="1"/>
  <c r="C65" i="1" s="1"/>
  <c r="J65" i="1" l="1"/>
  <c r="S64" i="1"/>
  <c r="T64" i="1" s="1"/>
  <c r="O65" i="1" s="1"/>
  <c r="D65" i="1" l="1"/>
  <c r="K65" i="1" s="1"/>
  <c r="P65" i="1"/>
  <c r="E65" i="1" s="1"/>
  <c r="L65" i="1" l="1"/>
  <c r="Q65" i="1"/>
  <c r="F65" i="1" s="1"/>
  <c r="R65" i="1" l="1"/>
  <c r="G65" i="1" s="1"/>
  <c r="H65" i="1" s="1"/>
  <c r="C66" i="1" s="1"/>
  <c r="S65" i="1"/>
  <c r="T65" i="1" s="1"/>
  <c r="O66" i="1" s="1"/>
  <c r="M65" i="1"/>
  <c r="N65" i="1" s="1"/>
  <c r="I66" i="1" s="1"/>
  <c r="D66" i="1" l="1"/>
  <c r="J66" i="1"/>
  <c r="P66" i="1"/>
  <c r="E66" i="1" s="1"/>
  <c r="K66" i="1"/>
  <c r="Q66" i="1" l="1"/>
  <c r="F66" i="1" s="1"/>
  <c r="L66" i="1"/>
  <c r="R66" i="1"/>
  <c r="G66" i="1" s="1"/>
  <c r="H66" i="1" s="1"/>
  <c r="C67" i="1" s="1"/>
  <c r="M66" i="1" l="1"/>
  <c r="N66" i="1" s="1"/>
  <c r="S66" i="1"/>
  <c r="T66" i="1" s="1"/>
  <c r="O67" i="1" s="1"/>
  <c r="I67" i="1" l="1"/>
  <c r="D67" i="1"/>
  <c r="P67" i="1"/>
  <c r="J67" i="1" l="1"/>
  <c r="E67" i="1" s="1"/>
  <c r="Q67" i="1"/>
  <c r="K67" i="1" l="1"/>
  <c r="L67" i="1" s="1"/>
  <c r="R67" i="1"/>
  <c r="F67" i="1" l="1"/>
  <c r="M67" i="1" s="1"/>
  <c r="N67" i="1" s="1"/>
  <c r="I68" i="1" s="1"/>
  <c r="S67" i="1" l="1"/>
  <c r="T67" i="1" s="1"/>
  <c r="O68" i="1" s="1"/>
  <c r="G67" i="1"/>
  <c r="H67" i="1" s="1"/>
  <c r="C68" i="1" s="1"/>
  <c r="J68" i="1" s="1"/>
  <c r="P68" i="1" l="1"/>
  <c r="D68" i="1"/>
  <c r="K68" i="1" s="1"/>
  <c r="Q68" i="1" l="1"/>
  <c r="E68" i="1"/>
  <c r="R68" i="1" l="1"/>
  <c r="L68" i="1"/>
  <c r="F68" i="1"/>
  <c r="S68" i="1" l="1"/>
  <c r="T68" i="1" s="1"/>
  <c r="O69" i="1" s="1"/>
  <c r="M68" i="1"/>
  <c r="N68" i="1" s="1"/>
  <c r="G68" i="1"/>
  <c r="H68" i="1" s="1"/>
  <c r="C69" i="1" s="1"/>
  <c r="I69" i="1" l="1"/>
  <c r="P69" i="1"/>
  <c r="D69" i="1"/>
  <c r="J69" i="1" l="1"/>
  <c r="E69" i="1" s="1"/>
  <c r="Q69" i="1"/>
  <c r="R69" i="1" l="1"/>
  <c r="K69" i="1"/>
  <c r="L69" i="1" s="1"/>
  <c r="F69" i="1" l="1"/>
  <c r="S69" i="1" s="1"/>
  <c r="T69" i="1" s="1"/>
  <c r="O70" i="1" s="1"/>
  <c r="G69" i="1"/>
  <c r="H69" i="1" s="1"/>
  <c r="C70" i="1" s="1"/>
  <c r="M69" i="1" l="1"/>
  <c r="N69" i="1" s="1"/>
  <c r="I70" i="1" s="1"/>
  <c r="J70" i="1" s="1"/>
  <c r="P70" i="1"/>
  <c r="D70" i="1"/>
  <c r="Q70" i="1" l="1"/>
  <c r="K70" i="1"/>
  <c r="E70" i="1"/>
  <c r="R70" i="1" s="1"/>
  <c r="L70" i="1" l="1"/>
  <c r="F70" i="1"/>
  <c r="S70" i="1" l="1"/>
  <c r="T70" i="1" s="1"/>
  <c r="O71" i="1" s="1"/>
  <c r="M70" i="1"/>
  <c r="N70" i="1" s="1"/>
  <c r="I71" i="1" s="1"/>
  <c r="G70" i="1"/>
  <c r="H70" i="1" s="1"/>
  <c r="C71" i="1" s="1"/>
  <c r="J71" i="1" l="1"/>
  <c r="P71" i="1"/>
  <c r="D71" i="1"/>
  <c r="K71" i="1" l="1"/>
  <c r="Q71" i="1"/>
  <c r="E71" i="1"/>
  <c r="L71" i="1" l="1"/>
  <c r="R71" i="1"/>
  <c r="F71" i="1"/>
  <c r="M71" i="1" l="1"/>
  <c r="N71" i="1" s="1"/>
  <c r="I72" i="1" s="1"/>
  <c r="S71" i="1"/>
  <c r="T71" i="1" s="1"/>
  <c r="O72" i="1" s="1"/>
  <c r="G71" i="1"/>
  <c r="H71" i="1" s="1"/>
  <c r="C72" i="1" s="1"/>
  <c r="D72" i="1" l="1"/>
  <c r="J72" i="1"/>
  <c r="P72" i="1"/>
  <c r="K72" i="1"/>
  <c r="Q72" i="1" l="1"/>
  <c r="E72" i="1"/>
  <c r="R72" i="1" l="1"/>
  <c r="L72" i="1"/>
  <c r="F72" i="1"/>
  <c r="M72" i="1" l="1"/>
  <c r="N72" i="1" s="1"/>
  <c r="I73" i="1" s="1"/>
  <c r="S72" i="1"/>
  <c r="T72" i="1" s="1"/>
  <c r="O73" i="1" s="1"/>
  <c r="G72" i="1"/>
  <c r="H72" i="1" s="1"/>
  <c r="C73" i="1" s="1"/>
  <c r="D73" i="1" l="1"/>
  <c r="P73" i="1"/>
  <c r="J73" i="1"/>
  <c r="K73" i="1" s="1"/>
  <c r="E73" i="1" l="1"/>
  <c r="Q73" i="1"/>
  <c r="F73" i="1" s="1"/>
  <c r="L73" i="1" l="1"/>
  <c r="M73" i="1" s="1"/>
  <c r="N73" i="1" s="1"/>
  <c r="I74" i="1" s="1"/>
  <c r="R73" i="1"/>
  <c r="G73" i="1" s="1"/>
  <c r="H73" i="1" s="1"/>
  <c r="C74" i="1" s="1"/>
  <c r="J74" i="1" l="1"/>
  <c r="S73" i="1"/>
  <c r="T73" i="1" s="1"/>
  <c r="O74" i="1" s="1"/>
  <c r="D74" i="1" s="1"/>
  <c r="K74" i="1" l="1"/>
  <c r="P74" i="1"/>
  <c r="E74" i="1" s="1"/>
  <c r="L74" i="1" s="1"/>
  <c r="Q74" i="1" l="1"/>
  <c r="F74" i="1" l="1"/>
  <c r="R74" i="1"/>
  <c r="G74" i="1" l="1"/>
  <c r="H74" i="1" s="1"/>
  <c r="C75" i="1" s="1"/>
  <c r="M74" i="1"/>
  <c r="N74" i="1" s="1"/>
  <c r="S74" i="1"/>
  <c r="T74" i="1" s="1"/>
  <c r="O75" i="1" s="1"/>
  <c r="I75" i="1" l="1"/>
  <c r="P75" i="1"/>
  <c r="J75" i="1" l="1"/>
  <c r="D75" i="1"/>
  <c r="K75" i="1" l="1"/>
  <c r="Q75" i="1"/>
  <c r="E75" i="1"/>
  <c r="L75" i="1" l="1"/>
  <c r="R75" i="1"/>
  <c r="F75" i="1"/>
  <c r="S75" i="1" s="1"/>
  <c r="T75" i="1" s="1"/>
  <c r="O76" i="1" s="1"/>
  <c r="G75" i="1" l="1"/>
  <c r="H75" i="1" s="1"/>
  <c r="C76" i="1" s="1"/>
  <c r="M75" i="1"/>
  <c r="N75" i="1" s="1"/>
  <c r="I76" i="1" l="1"/>
  <c r="P76" i="1"/>
  <c r="D76" i="1"/>
  <c r="Q76" i="1" s="1"/>
  <c r="J76" i="1" l="1"/>
  <c r="K76" i="1" l="1"/>
  <c r="E76" i="1"/>
  <c r="R76" i="1" l="1"/>
  <c r="L76" i="1"/>
  <c r="F76" i="1"/>
  <c r="S76" i="1" s="1"/>
  <c r="T76" i="1" s="1"/>
  <c r="O77" i="1" s="1"/>
  <c r="M76" i="1" l="1"/>
  <c r="G76" i="1"/>
  <c r="H76" i="1" s="1"/>
  <c r="C77" i="1" s="1"/>
  <c r="N76" i="1"/>
  <c r="I77" i="1" l="1"/>
  <c r="P77" i="1"/>
  <c r="D77" i="1"/>
  <c r="Q77" i="1" l="1"/>
  <c r="J77" i="1"/>
  <c r="K77" i="1" s="1"/>
  <c r="E77" i="1" l="1"/>
  <c r="F77" i="1" s="1"/>
  <c r="L77" i="1" l="1"/>
  <c r="M77" i="1" s="1"/>
  <c r="N77" i="1" s="1"/>
  <c r="I78" i="1" s="1"/>
  <c r="R77" i="1"/>
  <c r="G77" i="1" s="1"/>
  <c r="H77" i="1" s="1"/>
  <c r="C78" i="1" s="1"/>
  <c r="J78" i="1" l="1"/>
  <c r="S77" i="1"/>
  <c r="T77" i="1" s="1"/>
  <c r="O78" i="1" s="1"/>
  <c r="D78" i="1" l="1"/>
  <c r="P78" i="1"/>
  <c r="E78" i="1" s="1"/>
  <c r="K78" i="1" l="1"/>
  <c r="Q78" i="1"/>
  <c r="F78" i="1" s="1"/>
  <c r="R78" i="1" l="1"/>
  <c r="L78" i="1"/>
  <c r="M78" i="1" s="1"/>
  <c r="G78" i="1" l="1"/>
  <c r="H78" i="1" s="1"/>
  <c r="C79" i="1" s="1"/>
  <c r="N78" i="1"/>
  <c r="S78" i="1"/>
  <c r="T78" i="1" s="1"/>
  <c r="O79" i="1" s="1"/>
  <c r="I79" i="1" l="1"/>
  <c r="D79" i="1"/>
  <c r="P79" i="1"/>
  <c r="Q79" i="1" l="1"/>
  <c r="J79" i="1"/>
  <c r="E79" i="1" s="1"/>
  <c r="R79" i="1" s="1"/>
  <c r="K79" i="1" l="1"/>
  <c r="L79" i="1" s="1"/>
  <c r="F79" i="1"/>
  <c r="S79" i="1" l="1"/>
  <c r="T79" i="1" s="1"/>
  <c r="O80" i="1" s="1"/>
  <c r="M79" i="1"/>
  <c r="N79" i="1" s="1"/>
  <c r="I80" i="1" s="1"/>
  <c r="G79" i="1"/>
  <c r="H79" i="1" s="1"/>
  <c r="C80" i="1" s="1"/>
  <c r="J80" i="1" l="1"/>
  <c r="P80" i="1"/>
  <c r="D80" i="1"/>
  <c r="K80" i="1" s="1"/>
  <c r="E80" i="1" l="1"/>
  <c r="Q80" i="1"/>
  <c r="F80" i="1" s="1"/>
  <c r="L80" i="1" l="1"/>
  <c r="R80" i="1"/>
  <c r="G80" i="1" s="1"/>
  <c r="H80" i="1" s="1"/>
  <c r="C81" i="1" s="1"/>
  <c r="S80" i="1" l="1"/>
  <c r="T80" i="1" s="1"/>
  <c r="O81" i="1" s="1"/>
  <c r="M80" i="1"/>
  <c r="N80" i="1" s="1"/>
  <c r="I81" i="1" s="1"/>
  <c r="J81" i="1" l="1"/>
  <c r="D81" i="1"/>
  <c r="P81" i="1"/>
  <c r="E81" i="1" s="1"/>
  <c r="Q81" i="1" l="1"/>
  <c r="K81" i="1"/>
  <c r="L81" i="1" s="1"/>
  <c r="F81" i="1" l="1"/>
  <c r="R81" i="1"/>
  <c r="G81" i="1" s="1"/>
  <c r="H81" i="1" s="1"/>
  <c r="C82" i="1" s="1"/>
  <c r="M81" i="1" l="1"/>
  <c r="N81" i="1" s="1"/>
  <c r="I82" i="1" s="1"/>
  <c r="S81" i="1"/>
  <c r="T81" i="1" s="1"/>
  <c r="O82" i="1" s="1"/>
  <c r="D82" i="1" l="1"/>
  <c r="P82" i="1"/>
  <c r="J82" i="1"/>
  <c r="E82" i="1" l="1"/>
  <c r="Q82" i="1"/>
  <c r="K82" i="1"/>
  <c r="L82" i="1" s="1"/>
  <c r="F82" i="1" l="1"/>
  <c r="R82" i="1"/>
  <c r="G82" i="1" s="1"/>
  <c r="H82" i="1" s="1"/>
  <c r="C83" i="1" s="1"/>
  <c r="M82" i="1" l="1"/>
  <c r="N82" i="1" s="1"/>
  <c r="I83" i="1" s="1"/>
  <c r="S82" i="1"/>
  <c r="T82" i="1" s="1"/>
  <c r="O83" i="1" s="1"/>
  <c r="D83" i="1" s="1"/>
  <c r="P83" i="1" l="1"/>
  <c r="J83" i="1"/>
  <c r="K83" i="1" s="1"/>
  <c r="E83" i="1" l="1"/>
  <c r="L83" i="1" s="1"/>
  <c r="Q83" i="1"/>
  <c r="F83" i="1" s="1"/>
  <c r="M83" i="1" l="1"/>
  <c r="N83" i="1" s="1"/>
  <c r="I84" i="1" s="1"/>
  <c r="R83" i="1"/>
  <c r="G83" i="1" s="1"/>
  <c r="H83" i="1" s="1"/>
  <c r="C84" i="1" s="1"/>
  <c r="J84" i="1" l="1"/>
  <c r="S83" i="1"/>
  <c r="T83" i="1" s="1"/>
  <c r="O84" i="1" s="1"/>
  <c r="D84" i="1" l="1"/>
  <c r="P84" i="1"/>
  <c r="E84" i="1" s="1"/>
  <c r="K84" i="1" l="1"/>
  <c r="L84" i="1" s="1"/>
  <c r="Q84" i="1"/>
  <c r="F84" i="1" s="1"/>
  <c r="M84" i="1" l="1"/>
  <c r="N84" i="1" s="1"/>
  <c r="I85" i="1" s="1"/>
  <c r="R84" i="1"/>
  <c r="G84" i="1" s="1"/>
  <c r="H84" i="1" s="1"/>
  <c r="C85" i="1" s="1"/>
  <c r="J85" i="1" l="1"/>
  <c r="S84" i="1"/>
  <c r="T84" i="1" s="1"/>
  <c r="O85" i="1" s="1"/>
  <c r="D85" i="1" l="1"/>
  <c r="P85" i="1"/>
  <c r="E85" i="1" l="1"/>
  <c r="K85" i="1"/>
  <c r="Q85" i="1"/>
  <c r="F85" i="1" s="1"/>
  <c r="R85" i="1" l="1"/>
  <c r="L85" i="1"/>
  <c r="M85" i="1" s="1"/>
  <c r="N85" i="1" s="1"/>
  <c r="I86" i="1" s="1"/>
  <c r="G85" i="1" l="1"/>
  <c r="H85" i="1" s="1"/>
  <c r="C86" i="1" s="1"/>
  <c r="S85" i="1"/>
  <c r="T85" i="1" s="1"/>
  <c r="O86" i="1" s="1"/>
  <c r="D86" i="1" l="1"/>
  <c r="P86" i="1"/>
  <c r="J86" i="1"/>
  <c r="K86" i="1" s="1"/>
  <c r="Q86" i="1" l="1"/>
  <c r="E86" i="1"/>
  <c r="R86" i="1" l="1"/>
  <c r="L86" i="1"/>
  <c r="F86" i="1"/>
  <c r="S86" i="1" l="1"/>
  <c r="M86" i="1"/>
  <c r="N86" i="1" s="1"/>
  <c r="I87" i="1" s="1"/>
  <c r="G86" i="1"/>
  <c r="H86" i="1" s="1"/>
  <c r="C87" i="1" s="1"/>
  <c r="T86" i="1"/>
  <c r="O87" i="1" s="1"/>
  <c r="J87" i="1" l="1"/>
  <c r="P87" i="1"/>
  <c r="D87" i="1"/>
  <c r="Q87" i="1" s="1"/>
  <c r="E87" i="1" l="1"/>
  <c r="K87" i="1"/>
  <c r="L87" i="1" l="1"/>
  <c r="R87" i="1"/>
  <c r="F87" i="1"/>
  <c r="S87" i="1" l="1"/>
  <c r="T87" i="1" s="1"/>
  <c r="O88" i="1" s="1"/>
  <c r="M87" i="1"/>
  <c r="N87" i="1" s="1"/>
  <c r="I88" i="1" s="1"/>
  <c r="G87" i="1"/>
  <c r="H87" i="1" s="1"/>
  <c r="C88" i="1" s="1"/>
  <c r="J88" i="1" l="1"/>
  <c r="P88" i="1"/>
  <c r="D88" i="1"/>
  <c r="Q88" i="1" s="1"/>
  <c r="E88" i="1" l="1"/>
  <c r="K88" i="1"/>
  <c r="F88" i="1" s="1"/>
  <c r="R88" i="1" l="1"/>
  <c r="L88" i="1"/>
  <c r="M88" i="1" s="1"/>
  <c r="N88" i="1" s="1"/>
  <c r="I89" i="1" s="1"/>
  <c r="G88" i="1" l="1"/>
  <c r="H88" i="1" s="1"/>
  <c r="C89" i="1" s="1"/>
  <c r="S88" i="1"/>
  <c r="T88" i="1" s="1"/>
  <c r="O89" i="1" s="1"/>
  <c r="D89" i="1" l="1"/>
  <c r="J89" i="1"/>
  <c r="P89" i="1"/>
  <c r="E89" i="1" s="1"/>
  <c r="K89" i="1"/>
  <c r="L89" i="1" l="1"/>
  <c r="Q89" i="1"/>
  <c r="F89" i="1" l="1"/>
  <c r="R89" i="1"/>
  <c r="G89" i="1" s="1"/>
  <c r="H89" i="1" s="1"/>
  <c r="C90" i="1" s="1"/>
  <c r="M89" i="1" l="1"/>
  <c r="N89" i="1" s="1"/>
  <c r="I90" i="1" s="1"/>
  <c r="S89" i="1"/>
  <c r="T89" i="1" s="1"/>
  <c r="O90" i="1" s="1"/>
  <c r="P90" i="1" s="1"/>
  <c r="J90" i="1"/>
  <c r="D90" i="1" l="1"/>
  <c r="Q90" i="1"/>
  <c r="K90" i="1"/>
  <c r="E90" i="1"/>
  <c r="R90" i="1" l="1"/>
  <c r="L90" i="1"/>
  <c r="F90" i="1"/>
  <c r="S90" i="1" l="1"/>
  <c r="T90" i="1" s="1"/>
  <c r="O91" i="1" s="1"/>
  <c r="M90" i="1"/>
  <c r="N90" i="1" s="1"/>
  <c r="G90" i="1"/>
  <c r="H90" i="1" s="1"/>
  <c r="C91" i="1" s="1"/>
  <c r="I91" i="1" l="1"/>
  <c r="P91" i="1"/>
  <c r="D91" i="1"/>
  <c r="Q91" i="1" s="1"/>
  <c r="J91" i="1" l="1"/>
  <c r="K91" i="1" s="1"/>
  <c r="E91" i="1" l="1"/>
  <c r="R91" i="1" s="1"/>
  <c r="F91" i="1" l="1"/>
  <c r="L91" i="1"/>
  <c r="M91" i="1" s="1"/>
  <c r="N91" i="1" s="1"/>
  <c r="I92" i="1" s="1"/>
  <c r="S91" i="1"/>
  <c r="T91" i="1" s="1"/>
  <c r="O92" i="1" s="1"/>
  <c r="G91" i="1"/>
  <c r="H91" i="1" s="1"/>
  <c r="C92" i="1" s="1"/>
  <c r="D92" i="1" l="1"/>
  <c r="J92" i="1"/>
  <c r="P92" i="1"/>
  <c r="K92" i="1"/>
  <c r="Q92" i="1" l="1"/>
  <c r="E92" i="1"/>
  <c r="R92" i="1" s="1"/>
  <c r="F92" i="1" l="1"/>
  <c r="L92" i="1"/>
  <c r="M92" i="1" l="1"/>
  <c r="N92" i="1" s="1"/>
  <c r="S92" i="1"/>
  <c r="T92" i="1" s="1"/>
  <c r="O93" i="1" s="1"/>
  <c r="G92" i="1"/>
  <c r="H92" i="1" s="1"/>
  <c r="C93" i="1" s="1"/>
  <c r="P93" i="1" l="1"/>
  <c r="I93" i="1"/>
  <c r="J93" i="1" l="1"/>
  <c r="D93" i="1"/>
  <c r="K93" i="1" l="1"/>
  <c r="Q93" i="1"/>
  <c r="E93" i="1"/>
  <c r="R93" i="1" s="1"/>
  <c r="F93" i="1" l="1"/>
  <c r="L93" i="1"/>
  <c r="M93" i="1" l="1"/>
  <c r="N93" i="1" s="1"/>
  <c r="I94" i="1" s="1"/>
  <c r="S93" i="1"/>
  <c r="T93" i="1" s="1"/>
  <c r="O94" i="1" s="1"/>
  <c r="G93" i="1"/>
  <c r="H93" i="1" s="1"/>
  <c r="C94" i="1" s="1"/>
  <c r="P94" i="1" l="1"/>
  <c r="D94" i="1"/>
  <c r="Q94" i="1" s="1"/>
  <c r="J94" i="1"/>
  <c r="K94" i="1" l="1"/>
  <c r="E94" i="1"/>
  <c r="F94" i="1" s="1"/>
  <c r="L94" i="1" l="1"/>
  <c r="R94" i="1"/>
  <c r="M94" i="1"/>
  <c r="N94" i="1" s="1"/>
  <c r="I95" i="1" s="1"/>
  <c r="G94" i="1"/>
  <c r="H94" i="1" s="1"/>
  <c r="C95" i="1" s="1"/>
  <c r="S94" i="1"/>
  <c r="T94" i="1" s="1"/>
  <c r="O95" i="1" s="1"/>
  <c r="D95" i="1" l="1"/>
  <c r="P95" i="1"/>
  <c r="Q95" i="1" s="1"/>
  <c r="J95" i="1"/>
  <c r="K95" i="1" s="1"/>
  <c r="E95" i="1" l="1"/>
  <c r="R95" i="1" l="1"/>
  <c r="L95" i="1"/>
  <c r="F95" i="1"/>
  <c r="S95" i="1" l="1"/>
  <c r="T95" i="1" s="1"/>
  <c r="O96" i="1" s="1"/>
  <c r="M95" i="1"/>
  <c r="N95" i="1" s="1"/>
  <c r="I96" i="1" s="1"/>
  <c r="G95" i="1"/>
  <c r="H95" i="1" s="1"/>
  <c r="C96" i="1" s="1"/>
  <c r="J96" i="1" l="1"/>
  <c r="P96" i="1"/>
  <c r="D96" i="1"/>
  <c r="Q96" i="1" s="1"/>
  <c r="E96" i="1" l="1"/>
  <c r="R96" i="1" s="1"/>
  <c r="K96" i="1"/>
  <c r="L96" i="1" s="1"/>
  <c r="F96" i="1" l="1"/>
  <c r="M96" i="1" l="1"/>
  <c r="N96" i="1" s="1"/>
  <c r="I97" i="1" s="1"/>
  <c r="S96" i="1"/>
  <c r="T96" i="1" s="1"/>
  <c r="O97" i="1" s="1"/>
  <c r="G96" i="1"/>
  <c r="H96" i="1" s="1"/>
  <c r="C97" i="1" s="1"/>
  <c r="P97" i="1" l="1"/>
  <c r="D97" i="1"/>
  <c r="Q97" i="1" s="1"/>
  <c r="J97" i="1"/>
  <c r="K97" i="1" l="1"/>
  <c r="E97" i="1"/>
  <c r="R97" i="1" s="1"/>
  <c r="L97" i="1" l="1"/>
  <c r="F97" i="1"/>
  <c r="S97" i="1" s="1"/>
  <c r="T97" i="1" s="1"/>
  <c r="O98" i="1" s="1"/>
  <c r="G97" i="1" l="1"/>
  <c r="H97" i="1" s="1"/>
  <c r="C98" i="1" s="1"/>
  <c r="P98" i="1" s="1"/>
  <c r="M97" i="1"/>
  <c r="N97" i="1" s="1"/>
  <c r="I98" i="1" s="1"/>
  <c r="D98" i="1" s="1"/>
  <c r="Q98" i="1" l="1"/>
  <c r="J98" i="1"/>
  <c r="K98" i="1" s="1"/>
  <c r="E98" i="1" l="1"/>
  <c r="R98" i="1" s="1"/>
  <c r="L98" i="1" l="1"/>
  <c r="F98" i="1"/>
  <c r="S98" i="1" l="1"/>
  <c r="T98" i="1" s="1"/>
  <c r="O99" i="1" s="1"/>
  <c r="M98" i="1"/>
  <c r="N98" i="1" s="1"/>
  <c r="I99" i="1" s="1"/>
  <c r="G98" i="1"/>
  <c r="H98" i="1" s="1"/>
  <c r="C99" i="1" s="1"/>
  <c r="J99" i="1" l="1"/>
  <c r="P99" i="1"/>
  <c r="D99" i="1"/>
  <c r="K99" i="1" s="1"/>
  <c r="E99" i="1" l="1"/>
  <c r="Q99" i="1"/>
  <c r="F99" i="1" s="1"/>
  <c r="R99" i="1" l="1"/>
  <c r="L99" i="1"/>
  <c r="M99" i="1" s="1"/>
  <c r="N99" i="1" s="1"/>
  <c r="I100" i="1" s="1"/>
  <c r="G99" i="1" l="1"/>
  <c r="H99" i="1" s="1"/>
  <c r="C100" i="1" s="1"/>
  <c r="S99" i="1"/>
  <c r="T99" i="1" s="1"/>
  <c r="O100" i="1" s="1"/>
  <c r="D100" i="1" s="1"/>
  <c r="J100" i="1" l="1"/>
  <c r="K100" i="1" s="1"/>
  <c r="P100" i="1"/>
  <c r="Q100" i="1" s="1"/>
  <c r="E100" i="1" l="1"/>
  <c r="L100" i="1" l="1"/>
  <c r="R100" i="1"/>
  <c r="F100" i="1"/>
  <c r="M100" i="1" l="1"/>
  <c r="N100" i="1" s="1"/>
  <c r="I101" i="1" s="1"/>
  <c r="S100" i="1"/>
  <c r="T100" i="1" s="1"/>
  <c r="O101" i="1" s="1"/>
  <c r="G100" i="1"/>
  <c r="H100" i="1" s="1"/>
  <c r="C101" i="1" s="1"/>
  <c r="D101" i="1" l="1"/>
  <c r="J101" i="1"/>
  <c r="K101" i="1" s="1"/>
  <c r="P101" i="1"/>
  <c r="E101" i="1" s="1"/>
  <c r="L101" i="1" l="1"/>
  <c r="Q101" i="1"/>
  <c r="F101" i="1" s="1"/>
  <c r="M101" i="1" l="1"/>
  <c r="N101" i="1" s="1"/>
  <c r="I102" i="1" s="1"/>
  <c r="R101" i="1"/>
  <c r="G101" i="1" l="1"/>
  <c r="H101" i="1" s="1"/>
  <c r="C102" i="1" s="1"/>
  <c r="S101" i="1"/>
  <c r="T101" i="1" s="1"/>
  <c r="O102" i="1" s="1"/>
  <c r="D102" i="1" s="1"/>
  <c r="J102" i="1" l="1"/>
  <c r="P102" i="1"/>
  <c r="E102" i="1" s="1"/>
  <c r="K102" i="1"/>
  <c r="L102" i="1" l="1"/>
  <c r="Q102" i="1"/>
  <c r="F102" i="1" l="1"/>
  <c r="R102" i="1"/>
  <c r="G102" i="1" s="1"/>
  <c r="H102" i="1" s="1"/>
  <c r="C103" i="1" s="1"/>
  <c r="M102" i="1" l="1"/>
  <c r="N102" i="1" s="1"/>
  <c r="I103" i="1" s="1"/>
  <c r="J103" i="1" s="1"/>
  <c r="S102" i="1"/>
  <c r="T102" i="1" s="1"/>
  <c r="O103" i="1" s="1"/>
  <c r="D103" i="1" l="1"/>
  <c r="P103" i="1"/>
  <c r="E103" i="1" s="1"/>
  <c r="Q103" i="1" l="1"/>
  <c r="K103" i="1"/>
  <c r="L103" i="1" s="1"/>
  <c r="F103" i="1" l="1"/>
  <c r="M103" i="1" s="1"/>
  <c r="N103" i="1" s="1"/>
  <c r="I104" i="1" s="1"/>
  <c r="R103" i="1"/>
  <c r="G103" i="1" l="1"/>
  <c r="H103" i="1" s="1"/>
  <c r="C104" i="1" s="1"/>
  <c r="S103" i="1"/>
  <c r="T103" i="1" s="1"/>
  <c r="O104" i="1" s="1"/>
  <c r="D104" i="1" s="1"/>
  <c r="P104" i="1" l="1"/>
  <c r="Q104" i="1" s="1"/>
  <c r="J104" i="1"/>
  <c r="K104" i="1" s="1"/>
  <c r="E104" i="1" l="1"/>
  <c r="R104" i="1" s="1"/>
  <c r="F104" i="1" l="1"/>
  <c r="L104" i="1"/>
  <c r="M104" i="1" l="1"/>
  <c r="N104" i="1" s="1"/>
  <c r="I105" i="1" s="1"/>
  <c r="S104" i="1"/>
  <c r="T104" i="1" s="1"/>
  <c r="O105" i="1" s="1"/>
  <c r="G104" i="1"/>
  <c r="H104" i="1" s="1"/>
  <c r="C105" i="1" s="1"/>
  <c r="D105" i="1" l="1"/>
  <c r="P105" i="1"/>
  <c r="Q105" i="1" s="1"/>
  <c r="J105" i="1"/>
  <c r="K105" i="1" s="1"/>
  <c r="E105" i="1" l="1"/>
  <c r="L105" i="1" l="1"/>
  <c r="R105" i="1"/>
  <c r="F105" i="1"/>
  <c r="M105" i="1" l="1"/>
  <c r="N105" i="1" s="1"/>
  <c r="I106" i="1" s="1"/>
  <c r="S105" i="1"/>
  <c r="T105" i="1" s="1"/>
  <c r="O106" i="1" s="1"/>
  <c r="G105" i="1"/>
  <c r="H105" i="1" s="1"/>
  <c r="C106" i="1" s="1"/>
  <c r="D106" i="1" l="1"/>
  <c r="P106" i="1"/>
  <c r="J106" i="1"/>
  <c r="E106" i="1" l="1"/>
  <c r="K106" i="1"/>
  <c r="L106" i="1" s="1"/>
  <c r="Q106" i="1"/>
  <c r="F106" i="1" s="1"/>
  <c r="M106" i="1" l="1"/>
  <c r="N106" i="1" s="1"/>
  <c r="I107" i="1" s="1"/>
  <c r="R106" i="1"/>
  <c r="G106" i="1" s="1"/>
  <c r="H106" i="1" s="1"/>
  <c r="C107" i="1" s="1"/>
  <c r="J107" i="1" s="1"/>
  <c r="S106" i="1" l="1"/>
  <c r="T106" i="1" s="1"/>
  <c r="O107" i="1" s="1"/>
  <c r="D107" i="1" s="1"/>
  <c r="K107" i="1" s="1"/>
  <c r="P107" i="1" l="1"/>
  <c r="E107" i="1" l="1"/>
  <c r="Q107" i="1"/>
  <c r="F107" i="1" s="1"/>
  <c r="L107" i="1" l="1"/>
  <c r="M107" i="1" s="1"/>
  <c r="N107" i="1" s="1"/>
  <c r="I108" i="1" s="1"/>
  <c r="R107" i="1"/>
  <c r="G107" i="1" s="1"/>
  <c r="H107" i="1" s="1"/>
  <c r="C108" i="1" s="1"/>
  <c r="J108" i="1" l="1"/>
  <c r="S107" i="1"/>
  <c r="T107" i="1" s="1"/>
  <c r="O108" i="1" s="1"/>
  <c r="D108" i="1" l="1"/>
  <c r="P108" i="1"/>
  <c r="E108" i="1" s="1"/>
  <c r="Q108" i="1" l="1"/>
  <c r="R108" i="1" s="1"/>
  <c r="K108" i="1"/>
  <c r="F108" i="1" s="1"/>
  <c r="S108" i="1" l="1"/>
  <c r="T108" i="1" s="1"/>
  <c r="O109" i="1" s="1"/>
  <c r="L108" i="1"/>
  <c r="M108" i="1" s="1"/>
  <c r="N108" i="1" s="1"/>
  <c r="I109" i="1" s="1"/>
  <c r="G108" i="1" l="1"/>
  <c r="H108" i="1" s="1"/>
  <c r="C109" i="1" s="1"/>
  <c r="D109" i="1" l="1"/>
  <c r="P109" i="1"/>
  <c r="J109" i="1"/>
  <c r="K109" i="1" s="1"/>
  <c r="Q109" i="1"/>
  <c r="E109" i="1" l="1"/>
  <c r="R109" i="1" l="1"/>
  <c r="L109" i="1"/>
  <c r="F109" i="1"/>
  <c r="M109" i="1" l="1"/>
  <c r="N109" i="1" s="1"/>
  <c r="I110" i="1" s="1"/>
  <c r="S109" i="1"/>
  <c r="T109" i="1" s="1"/>
  <c r="O110" i="1" s="1"/>
  <c r="G109" i="1"/>
  <c r="H109" i="1" s="1"/>
  <c r="C110" i="1" s="1"/>
  <c r="J110" i="1" l="1"/>
  <c r="P110" i="1"/>
  <c r="D110" i="1"/>
  <c r="Q110" i="1" s="1"/>
  <c r="E110" i="1" l="1"/>
  <c r="K110" i="1"/>
  <c r="L110" i="1" l="1"/>
  <c r="F110" i="1"/>
  <c r="R110" i="1"/>
  <c r="G110" i="1" l="1"/>
  <c r="H110" i="1" s="1"/>
  <c r="C111" i="1" s="1"/>
  <c r="M110" i="1"/>
  <c r="N110" i="1" s="1"/>
  <c r="I111" i="1" s="1"/>
  <c r="J111" i="1" s="1"/>
  <c r="S110" i="1"/>
  <c r="T110" i="1" s="1"/>
  <c r="O111" i="1" s="1"/>
  <c r="D111" i="1" l="1"/>
  <c r="P111" i="1"/>
  <c r="E111" i="1" s="1"/>
  <c r="Q111" i="1" l="1"/>
  <c r="K111" i="1"/>
  <c r="L111" i="1" s="1"/>
  <c r="F111" i="1" l="1"/>
  <c r="M111" i="1" s="1"/>
  <c r="N111" i="1" s="1"/>
  <c r="I112" i="1" s="1"/>
  <c r="R111" i="1"/>
  <c r="G111" i="1" l="1"/>
  <c r="H111" i="1" s="1"/>
  <c r="C112" i="1" s="1"/>
  <c r="J112" i="1" s="1"/>
  <c r="S111" i="1"/>
  <c r="T111" i="1" s="1"/>
  <c r="O112" i="1" s="1"/>
  <c r="D112" i="1" l="1"/>
  <c r="P112" i="1"/>
  <c r="E112" i="1" s="1"/>
  <c r="Q112" i="1" l="1"/>
  <c r="K112" i="1"/>
  <c r="L112" i="1" s="1"/>
  <c r="F112" i="1" l="1"/>
  <c r="R112" i="1"/>
  <c r="G112" i="1" s="1"/>
  <c r="H112" i="1" s="1"/>
  <c r="C113" i="1" s="1"/>
  <c r="M112" i="1"/>
  <c r="N112" i="1" s="1"/>
  <c r="I113" i="1" s="1"/>
  <c r="S112" i="1" l="1"/>
  <c r="T112" i="1" s="1"/>
  <c r="O113" i="1" s="1"/>
  <c r="D113" i="1" s="1"/>
  <c r="J113" i="1"/>
  <c r="K113" i="1" l="1"/>
  <c r="P113" i="1"/>
  <c r="Q113" i="1" s="1"/>
  <c r="E113" i="1" l="1"/>
  <c r="F113" i="1" s="1"/>
  <c r="L113" i="1" l="1"/>
  <c r="M113" i="1" s="1"/>
  <c r="N113" i="1" s="1"/>
  <c r="I114" i="1" s="1"/>
  <c r="R113" i="1"/>
  <c r="G113" i="1" s="1"/>
  <c r="H113" i="1" s="1"/>
  <c r="C114" i="1" s="1"/>
  <c r="J114" i="1" l="1"/>
  <c r="S113" i="1"/>
  <c r="T113" i="1" s="1"/>
  <c r="O114" i="1" s="1"/>
  <c r="D114" i="1" l="1"/>
  <c r="P114" i="1"/>
  <c r="E114" i="1" s="1"/>
  <c r="Q114" i="1" l="1"/>
  <c r="K114" i="1"/>
  <c r="L114" i="1" s="1"/>
  <c r="F114" i="1" l="1"/>
  <c r="R114" i="1"/>
  <c r="G114" i="1" s="1"/>
  <c r="H114" i="1" s="1"/>
  <c r="C115" i="1" s="1"/>
  <c r="S114" i="1" l="1"/>
  <c r="T114" i="1" s="1"/>
  <c r="O115" i="1" s="1"/>
  <c r="M114" i="1"/>
  <c r="N114" i="1" s="1"/>
  <c r="I115" i="1" s="1"/>
  <c r="J115" i="1" s="1"/>
  <c r="D115" i="1" l="1"/>
  <c r="P115" i="1"/>
  <c r="E115" i="1" s="1"/>
  <c r="Q115" i="1" l="1"/>
  <c r="K115" i="1"/>
  <c r="L115" i="1" s="1"/>
  <c r="R115" i="1" l="1"/>
  <c r="F115" i="1"/>
  <c r="S115" i="1" l="1"/>
  <c r="T115" i="1" s="1"/>
  <c r="O116" i="1" s="1"/>
  <c r="M115" i="1"/>
  <c r="N115" i="1" s="1"/>
  <c r="I116" i="1" s="1"/>
  <c r="G115" i="1"/>
  <c r="H115" i="1" s="1"/>
  <c r="C116" i="1" s="1"/>
  <c r="P116" i="1" l="1"/>
  <c r="J116" i="1"/>
  <c r="D116" i="1"/>
  <c r="Q116" i="1" s="1"/>
  <c r="E116" i="1"/>
  <c r="R116" i="1" l="1"/>
  <c r="K116" i="1"/>
  <c r="L116" i="1" s="1"/>
  <c r="F116" i="1" l="1"/>
  <c r="S116" i="1" s="1"/>
  <c r="T116" i="1" s="1"/>
  <c r="O117" i="1" s="1"/>
  <c r="G116" i="1" l="1"/>
  <c r="H116" i="1" s="1"/>
  <c r="C117" i="1" s="1"/>
  <c r="M116" i="1"/>
  <c r="N116" i="1" s="1"/>
  <c r="I117" i="1" s="1"/>
  <c r="J117" i="1" l="1"/>
  <c r="P117" i="1"/>
  <c r="D117" i="1"/>
  <c r="Q117" i="1" s="1"/>
  <c r="K117" i="1" l="1"/>
  <c r="E117" i="1"/>
  <c r="R117" i="1" s="1"/>
  <c r="L117" i="1" l="1"/>
  <c r="F117" i="1"/>
  <c r="S117" i="1" l="1"/>
  <c r="T117" i="1" s="1"/>
  <c r="O118" i="1" s="1"/>
  <c r="M117" i="1"/>
  <c r="N117" i="1" s="1"/>
  <c r="I118" i="1" s="1"/>
  <c r="G117" i="1"/>
  <c r="H117" i="1" s="1"/>
  <c r="C118" i="1" s="1"/>
  <c r="J118" i="1" l="1"/>
  <c r="P118" i="1"/>
  <c r="D118" i="1"/>
  <c r="K118" i="1" s="1"/>
  <c r="Q118" i="1" l="1"/>
  <c r="E118" i="1"/>
  <c r="L118" i="1" l="1"/>
  <c r="R118" i="1"/>
  <c r="F118" i="1"/>
  <c r="S118" i="1" l="1"/>
  <c r="T118" i="1" s="1"/>
  <c r="O119" i="1" s="1"/>
  <c r="M118" i="1"/>
  <c r="N118" i="1" s="1"/>
  <c r="I119" i="1" s="1"/>
  <c r="G118" i="1"/>
  <c r="H118" i="1" s="1"/>
  <c r="C119" i="1" s="1"/>
  <c r="J119" i="1" l="1"/>
  <c r="P119" i="1"/>
  <c r="D119" i="1"/>
  <c r="K119" i="1" s="1"/>
  <c r="Q119" i="1" l="1"/>
  <c r="E119" i="1"/>
  <c r="L119" i="1" s="1"/>
  <c r="R119" i="1" l="1"/>
  <c r="F119" i="1"/>
  <c r="M119" i="1" l="1"/>
  <c r="N119" i="1" s="1"/>
  <c r="I120" i="1" s="1"/>
  <c r="S119" i="1"/>
  <c r="T119" i="1" s="1"/>
  <c r="O120" i="1" s="1"/>
  <c r="G119" i="1"/>
  <c r="H119" i="1" s="1"/>
  <c r="C120" i="1" s="1"/>
  <c r="J120" i="1" l="1"/>
  <c r="P120" i="1"/>
  <c r="D120" i="1"/>
  <c r="Q120" i="1" s="1"/>
  <c r="K120" i="1" l="1"/>
  <c r="E120" i="1"/>
  <c r="L120" i="1" s="1"/>
  <c r="F120" i="1" l="1"/>
  <c r="R120" i="1"/>
  <c r="G120" i="1" s="1"/>
  <c r="H120" i="1" s="1"/>
  <c r="C121" i="1" s="1"/>
  <c r="S120" i="1" l="1"/>
  <c r="T120" i="1" s="1"/>
  <c r="O121" i="1" s="1"/>
  <c r="M120" i="1"/>
  <c r="N120" i="1" s="1"/>
  <c r="I121" i="1" s="1"/>
  <c r="J121" i="1" s="1"/>
  <c r="P121" i="1" l="1"/>
  <c r="D121" i="1"/>
  <c r="E121" i="1" l="1"/>
  <c r="K121" i="1"/>
  <c r="L121" i="1" s="1"/>
  <c r="Q121" i="1"/>
  <c r="F121" i="1" s="1"/>
  <c r="M121" i="1" l="1"/>
  <c r="N121" i="1" s="1"/>
  <c r="R121" i="1"/>
  <c r="G121" i="1" s="1"/>
  <c r="H121" i="1" s="1"/>
  <c r="S121" i="1" l="1"/>
  <c r="T121" i="1" s="1"/>
</calcChain>
</file>

<file path=xl/sharedStrings.xml><?xml version="1.0" encoding="utf-8"?>
<sst xmlns="http://schemas.openxmlformats.org/spreadsheetml/2006/main" count="29" uniqueCount="29">
  <si>
    <t>N</t>
  </si>
  <si>
    <t>к1</t>
  </si>
  <si>
    <t>к2</t>
  </si>
  <si>
    <t>к3</t>
  </si>
  <si>
    <t>к4</t>
  </si>
  <si>
    <t>dN</t>
  </si>
  <si>
    <t>m1</t>
  </si>
  <si>
    <t>m2</t>
  </si>
  <si>
    <t>m3</t>
  </si>
  <si>
    <t>m4</t>
  </si>
  <si>
    <t>dC</t>
  </si>
  <si>
    <t>Время</t>
  </si>
  <si>
    <t>Аналитика</t>
  </si>
  <si>
    <t>Cотн</t>
  </si>
  <si>
    <t>доля запаздывающих нейтронов 0,0065, N=W/Wном, номинальная мощность 3000МВт, Сотн=С/Cном -относительная доля зап.нейтронов</t>
  </si>
  <si>
    <t>r</t>
  </si>
  <si>
    <t>бета</t>
  </si>
  <si>
    <t>шаг</t>
  </si>
  <si>
    <t>Решение уравнений динамики с обратной связью по температуре топлива и аналитическое решение 
без обратной связи</t>
  </si>
  <si>
    <t>r -скачок реактивности в долях бета, лямбда =0,0768, Начальная температура топлива 800град, температура теплоносителя 300град</t>
  </si>
  <si>
    <t xml:space="preserve">Входные данные:  стандартный коэффициент реактивности =-2,5 на 10 в минус пятой, 0,001c время жизни мгновенных нейтронов </t>
  </si>
  <si>
    <t>от эффекта реактивности =коэф. Реактивности *800град</t>
  </si>
  <si>
    <t>T</t>
  </si>
  <si>
    <t>p1</t>
  </si>
  <si>
    <t>p2</t>
  </si>
  <si>
    <t>p3</t>
  </si>
  <si>
    <t>p4</t>
  </si>
  <si>
    <t>dP</t>
  </si>
  <si>
    <t xml:space="preserve">доля 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</si>
</sst>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/>
    </xf>
    <xf numFmtId="9" fontId="0" fillId="0" borderId="0" xfId="1" applyFont="1"/>
    <xf numFmtId="0" fontId="2" fillId="0" borderId="0" xfId="0" applyFont="1" applyAlignment="1">
      <alignment horizontal="center" wrapText="1"/>
    </xf>
    <xf numFmtId="0" fontId="0" fillId="0" borderId="0" xfId="0" applyAlignment="1">
      <alignment horizontal="left"/>
    </xf>
    <xf numFmtId="0" fontId="0" fillId="0" borderId="0" xfId="0"/>
  </cellXfs>
  <cellStyles count="2">
    <cellStyle name="Обычный" xfId="0" builtinId="0"/>
    <cellStyle name="Процентный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Лист1!$B$1</c:f>
              <c:strCache>
                <c:ptCount val="1"/>
              </c:strCache>
            </c:strRef>
          </c:tx>
          <c:marker>
            <c:symbol val="none"/>
          </c:marker>
          <c:xVal>
            <c:strRef>
              <c:f>Лист1!$A$2:$A$560</c:f>
              <c:strCache>
                <c:ptCount val="120"/>
                <c:pt idx="0">
                  <c:v>Решение уравнений динамики с обратной связью по температуре топлива и аналитическое решение 
без обратной связи</c:v>
                </c:pt>
                <c:pt idx="2">
                  <c:v>Входные данные:  стандартный коэффициент реактивности =-2,5 на 10 в минус пятой, 0,001c время жизни мгновенных нейтронов </c:v>
                </c:pt>
                <c:pt idx="3">
                  <c:v>доля запаздывающих нейтронов 0,0065, N=W/Wном, номинальная мощность 3000МВт, Сотн=С/Cном -относительная доля зап.нейтронов</c:v>
                </c:pt>
                <c:pt idx="4">
                  <c:v>r -скачок реактивности в долях бета, лямбда =0,0768, Начальная температура топлива 800град, температура теплоносителя 300град</c:v>
                </c:pt>
                <c:pt idx="5">
                  <c:v>r</c:v>
                </c:pt>
                <c:pt idx="6">
                  <c:v>0,2</c:v>
                </c:pt>
                <c:pt idx="20">
                  <c:v>Время</c:v>
                </c:pt>
                <c:pt idx="21">
                  <c:v>0</c:v>
                </c:pt>
                <c:pt idx="22">
                  <c:v>0,1</c:v>
                </c:pt>
                <c:pt idx="23">
                  <c:v>0,2</c:v>
                </c:pt>
                <c:pt idx="24">
                  <c:v>0,3</c:v>
                </c:pt>
                <c:pt idx="25">
                  <c:v>0,4</c:v>
                </c:pt>
                <c:pt idx="26">
                  <c:v>0,5</c:v>
                </c:pt>
                <c:pt idx="27">
                  <c:v>0,6</c:v>
                </c:pt>
                <c:pt idx="28">
                  <c:v>0,7</c:v>
                </c:pt>
                <c:pt idx="29">
                  <c:v>0,8</c:v>
                </c:pt>
                <c:pt idx="30">
                  <c:v>0,9</c:v>
                </c:pt>
                <c:pt idx="31">
                  <c:v>1</c:v>
                </c:pt>
                <c:pt idx="32">
                  <c:v>1,1</c:v>
                </c:pt>
                <c:pt idx="33">
                  <c:v>1,2</c:v>
                </c:pt>
                <c:pt idx="34">
                  <c:v>1,3</c:v>
                </c:pt>
                <c:pt idx="35">
                  <c:v>1,4</c:v>
                </c:pt>
                <c:pt idx="36">
                  <c:v>1,5</c:v>
                </c:pt>
                <c:pt idx="37">
                  <c:v>1,6</c:v>
                </c:pt>
                <c:pt idx="38">
                  <c:v>1,7</c:v>
                </c:pt>
                <c:pt idx="39">
                  <c:v>1,8</c:v>
                </c:pt>
                <c:pt idx="40">
                  <c:v>1,9</c:v>
                </c:pt>
                <c:pt idx="41">
                  <c:v>2</c:v>
                </c:pt>
                <c:pt idx="42">
                  <c:v>2,1</c:v>
                </c:pt>
                <c:pt idx="43">
                  <c:v>2,2</c:v>
                </c:pt>
                <c:pt idx="44">
                  <c:v>2,3</c:v>
                </c:pt>
                <c:pt idx="45">
                  <c:v>2,4</c:v>
                </c:pt>
                <c:pt idx="46">
                  <c:v>2,5</c:v>
                </c:pt>
                <c:pt idx="47">
                  <c:v>2,6</c:v>
                </c:pt>
                <c:pt idx="48">
                  <c:v>2,7</c:v>
                </c:pt>
                <c:pt idx="49">
                  <c:v>2,8</c:v>
                </c:pt>
                <c:pt idx="50">
                  <c:v>2,9</c:v>
                </c:pt>
                <c:pt idx="51">
                  <c:v>3</c:v>
                </c:pt>
                <c:pt idx="52">
                  <c:v>3,1</c:v>
                </c:pt>
                <c:pt idx="53">
                  <c:v>3,2</c:v>
                </c:pt>
                <c:pt idx="54">
                  <c:v>3,3</c:v>
                </c:pt>
                <c:pt idx="55">
                  <c:v>3,4</c:v>
                </c:pt>
                <c:pt idx="56">
                  <c:v>3,5</c:v>
                </c:pt>
                <c:pt idx="57">
                  <c:v>3,6</c:v>
                </c:pt>
                <c:pt idx="58">
                  <c:v>3,7</c:v>
                </c:pt>
                <c:pt idx="59">
                  <c:v>3,8</c:v>
                </c:pt>
                <c:pt idx="60">
                  <c:v>3,9</c:v>
                </c:pt>
                <c:pt idx="61">
                  <c:v>4</c:v>
                </c:pt>
                <c:pt idx="62">
                  <c:v>4,1</c:v>
                </c:pt>
                <c:pt idx="63">
                  <c:v>4,2</c:v>
                </c:pt>
                <c:pt idx="64">
                  <c:v>4,3</c:v>
                </c:pt>
                <c:pt idx="65">
                  <c:v>4,4</c:v>
                </c:pt>
                <c:pt idx="66">
                  <c:v>4,5</c:v>
                </c:pt>
                <c:pt idx="67">
                  <c:v>4,6</c:v>
                </c:pt>
                <c:pt idx="68">
                  <c:v>4,7</c:v>
                </c:pt>
                <c:pt idx="69">
                  <c:v>4,8</c:v>
                </c:pt>
                <c:pt idx="70">
                  <c:v>4,9</c:v>
                </c:pt>
                <c:pt idx="71">
                  <c:v>5</c:v>
                </c:pt>
                <c:pt idx="72">
                  <c:v>5,1</c:v>
                </c:pt>
                <c:pt idx="73">
                  <c:v>5,2</c:v>
                </c:pt>
                <c:pt idx="74">
                  <c:v>5,3</c:v>
                </c:pt>
                <c:pt idx="75">
                  <c:v>5,4</c:v>
                </c:pt>
                <c:pt idx="76">
                  <c:v>5,5</c:v>
                </c:pt>
                <c:pt idx="77">
                  <c:v>5,6</c:v>
                </c:pt>
                <c:pt idx="78">
                  <c:v>5,7</c:v>
                </c:pt>
                <c:pt idx="79">
                  <c:v>5,8</c:v>
                </c:pt>
                <c:pt idx="80">
                  <c:v>5,9</c:v>
                </c:pt>
                <c:pt idx="81">
                  <c:v>6</c:v>
                </c:pt>
                <c:pt idx="82">
                  <c:v>6,1</c:v>
                </c:pt>
                <c:pt idx="83">
                  <c:v>6,2</c:v>
                </c:pt>
                <c:pt idx="84">
                  <c:v>6,3</c:v>
                </c:pt>
                <c:pt idx="85">
                  <c:v>6,4</c:v>
                </c:pt>
                <c:pt idx="86">
                  <c:v>6,5</c:v>
                </c:pt>
                <c:pt idx="87">
                  <c:v>6,6</c:v>
                </c:pt>
                <c:pt idx="88">
                  <c:v>6,7</c:v>
                </c:pt>
                <c:pt idx="89">
                  <c:v>6,8</c:v>
                </c:pt>
                <c:pt idx="90">
                  <c:v>6,9</c:v>
                </c:pt>
                <c:pt idx="91">
                  <c:v>7</c:v>
                </c:pt>
                <c:pt idx="92">
                  <c:v>7,1</c:v>
                </c:pt>
                <c:pt idx="93">
                  <c:v>7,2</c:v>
                </c:pt>
                <c:pt idx="94">
                  <c:v>7,3</c:v>
                </c:pt>
                <c:pt idx="95">
                  <c:v>7,4</c:v>
                </c:pt>
                <c:pt idx="96">
                  <c:v>7,5</c:v>
                </c:pt>
                <c:pt idx="97">
                  <c:v>7,6</c:v>
                </c:pt>
                <c:pt idx="98">
                  <c:v>7,7</c:v>
                </c:pt>
                <c:pt idx="99">
                  <c:v>7,8</c:v>
                </c:pt>
                <c:pt idx="100">
                  <c:v>7,9</c:v>
                </c:pt>
                <c:pt idx="101">
                  <c:v>8</c:v>
                </c:pt>
                <c:pt idx="102">
                  <c:v>8,1</c:v>
                </c:pt>
                <c:pt idx="103">
                  <c:v>8,2</c:v>
                </c:pt>
                <c:pt idx="104">
                  <c:v>8,3</c:v>
                </c:pt>
                <c:pt idx="105">
                  <c:v>8,4</c:v>
                </c:pt>
                <c:pt idx="106">
                  <c:v>8,5</c:v>
                </c:pt>
                <c:pt idx="107">
                  <c:v>8,6</c:v>
                </c:pt>
                <c:pt idx="108">
                  <c:v>8,7</c:v>
                </c:pt>
                <c:pt idx="109">
                  <c:v>8,8</c:v>
                </c:pt>
                <c:pt idx="110">
                  <c:v>8,9</c:v>
                </c:pt>
                <c:pt idx="111">
                  <c:v>9</c:v>
                </c:pt>
                <c:pt idx="112">
                  <c:v>9,1</c:v>
                </c:pt>
                <c:pt idx="113">
                  <c:v>9,2</c:v>
                </c:pt>
                <c:pt idx="114">
                  <c:v>9,3</c:v>
                </c:pt>
                <c:pt idx="115">
                  <c:v>9,4</c:v>
                </c:pt>
                <c:pt idx="116">
                  <c:v>9,5</c:v>
                </c:pt>
                <c:pt idx="117">
                  <c:v>9,6</c:v>
                </c:pt>
                <c:pt idx="118">
                  <c:v>9,7</c:v>
                </c:pt>
                <c:pt idx="119">
                  <c:v>9,8</c:v>
                </c:pt>
              </c:strCache>
            </c:strRef>
          </c:xVal>
          <c:yVal>
            <c:numRef>
              <c:f>Лист1!$B$2:$B$560</c:f>
              <c:numCache>
                <c:formatCode>General</c:formatCode>
                <c:ptCount val="559"/>
                <c:pt idx="5">
                  <c:v>0</c:v>
                </c:pt>
                <c:pt idx="6">
                  <c:v>6.4999999999999997E-3</c:v>
                </c:pt>
                <c:pt idx="20">
                  <c:v>0</c:v>
                </c:pt>
                <c:pt idx="21">
                  <c:v>1</c:v>
                </c:pt>
                <c:pt idx="22">
                  <c:v>1.1037721684827195</c:v>
                </c:pt>
                <c:pt idx="23">
                  <c:v>1.1664455573181183</c:v>
                </c:pt>
                <c:pt idx="24">
                  <c:v>1.2046867580703258</c:v>
                </c:pt>
                <c:pt idx="25">
                  <c:v>1.2284044055036671</c:v>
                </c:pt>
                <c:pt idx="26">
                  <c:v>1.2434893902096351</c:v>
                </c:pt>
                <c:pt idx="27">
                  <c:v>1.2534439713194487</c:v>
                </c:pt>
                <c:pt idx="28">
                  <c:v>1.2603503174866371</c:v>
                </c:pt>
                <c:pt idx="29">
                  <c:v>1.2654463244027561</c:v>
                </c:pt>
                <c:pt idx="30">
                  <c:v>1.2694679501423713</c:v>
                </c:pt>
                <c:pt idx="31">
                  <c:v>1.2728527405599641</c:v>
                </c:pt>
                <c:pt idx="32">
                  <c:v>1.2758608293204368</c:v>
                </c:pt>
                <c:pt idx="33">
                  <c:v>1.278646874903568</c:v>
                </c:pt>
                <c:pt idx="34">
                  <c:v>1.281302828631335</c:v>
                </c:pt>
                <c:pt idx="35">
                  <c:v>1.2838833611389644</c:v>
                </c:pt>
                <c:pt idx="36">
                  <c:v>1.2864209789344487</c:v>
                </c:pt>
                <c:pt idx="37">
                  <c:v>1.2889350115038094</c:v>
                </c:pt>
                <c:pt idx="38">
                  <c:v>1.291436954329851</c:v>
                </c:pt>
                <c:pt idx="39">
                  <c:v>1.2939336454266182</c:v>
                </c:pt>
                <c:pt idx="40">
                  <c:v>1.2964291538544115</c:v>
                </c:pt>
                <c:pt idx="41">
                  <c:v>1.298925902480784</c:v>
                </c:pt>
                <c:pt idx="42">
                  <c:v>1.3014253354850389</c:v>
                </c:pt>
                <c:pt idx="43">
                  <c:v>1.3039283152033834</c:v>
                </c:pt>
                <c:pt idx="44">
                  <c:v>1.3064353580615378</c:v>
                </c:pt>
                <c:pt idx="45">
                  <c:v>1.3089467748415364</c:v>
                </c:pt>
                <c:pt idx="46">
                  <c:v>1.3114627540732364</c:v>
                </c:pt>
                <c:pt idx="47">
                  <c:v>1.3139834116122955</c:v>
                </c:pt>
                <c:pt idx="48">
                  <c:v>1.3165088201153137</c:v>
                </c:pt>
                <c:pt idx="49">
                  <c:v>1.3190390265634244</c:v>
                </c:pt>
                <c:pt idx="50">
                  <c:v>1.321574062680444</c:v>
                </c:pt>
                <c:pt idx="51">
                  <c:v>1.3241139511266875</c:v>
                </c:pt>
                <c:pt idx="52">
                  <c:v>1.3266587091813367</c:v>
                </c:pt>
                <c:pt idx="53">
                  <c:v>1.3292083509316945</c:v>
                </c:pt>
                <c:pt idx="54">
                  <c:v>1.3317628885747574</c:v>
                </c:pt>
                <c:pt idx="55">
                  <c:v>1.3343223331910412</c:v>
                </c:pt>
                <c:pt idx="56">
                  <c:v>1.3368866952046499</c:v>
                </c:pt>
                <c:pt idx="57">
                  <c:v>1.3394559846568097</c:v>
                </c:pt>
                <c:pt idx="58">
                  <c:v>1.3420302113685068</c:v>
                </c:pt>
                <c:pt idx="59">
                  <c:v>1.3446093850371899</c:v>
                </c:pt>
                <c:pt idx="60">
                  <c:v>1.3471935152942796</c:v>
                </c:pt>
                <c:pt idx="61">
                  <c:v>1.3497826117393703</c:v>
                </c:pt>
                <c:pt idx="62">
                  <c:v>1.3523766839605798</c:v>
                </c:pt>
                <c:pt idx="63">
                  <c:v>1.3549757415466621</c:v>
                </c:pt>
                <c:pt idx="64">
                  <c:v>1.3575797940942207</c:v>
                </c:pt>
                <c:pt idx="65">
                  <c:v>1.3601888512120153</c:v>
                </c:pt>
                <c:pt idx="66">
                  <c:v>1.3628029225235316</c:v>
                </c:pt>
                <c:pt idx="67">
                  <c:v>1.3654220176685294</c:v>
                </c:pt>
                <c:pt idx="68">
                  <c:v>1.3680461463039719</c:v>
                </c:pt>
                <c:pt idx="69">
                  <c:v>1.3706753181045963</c:v>
                </c:pt>
                <c:pt idx="70">
                  <c:v>1.3733095427632664</c:v>
                </c:pt>
                <c:pt idx="71">
                  <c:v>1.3759488299911964</c:v>
                </c:pt>
                <c:pt idx="72">
                  <c:v>1.3785931895180978</c:v>
                </c:pt>
                <c:pt idx="73">
                  <c:v>1.3812426310922845</c:v>
                </c:pt>
                <c:pt idx="74">
                  <c:v>1.3838971644807456</c:v>
                </c:pt>
                <c:pt idx="75">
                  <c:v>1.3865567994692072</c:v>
                </c:pt>
                <c:pt idx="76">
                  <c:v>1.3892215458621802</c:v>
                </c:pt>
                <c:pt idx="77">
                  <c:v>1.3918914134830067</c:v>
                </c:pt>
                <c:pt idx="78">
                  <c:v>1.3945664121739008</c:v>
                </c:pt>
                <c:pt idx="79">
                  <c:v>1.3972465517959867</c:v>
                </c:pt>
                <c:pt idx="80">
                  <c:v>1.3999318422293381</c:v>
                </c:pt>
                <c:pt idx="81">
                  <c:v>1.4026222933730144</c:v>
                </c:pt>
                <c:pt idx="82">
                  <c:v>1.4053179151450996</c:v>
                </c:pt>
                <c:pt idx="83">
                  <c:v>1.4080187174827377</c:v>
                </c:pt>
                <c:pt idx="84">
                  <c:v>1.4107247103421698</c:v>
                </c:pt>
                <c:pt idx="85">
                  <c:v>1.4134359036987711</c:v>
                </c:pt>
                <c:pt idx="86">
                  <c:v>1.4161523075470885</c:v>
                </c:pt>
                <c:pt idx="87">
                  <c:v>1.4188739319008756</c:v>
                </c:pt>
                <c:pt idx="88">
                  <c:v>1.4216007867931322</c:v>
                </c:pt>
                <c:pt idx="89">
                  <c:v>1.4243328822761392</c:v>
                </c:pt>
                <c:pt idx="90">
                  <c:v>1.4270702284214962</c:v>
                </c:pt>
                <c:pt idx="91">
                  <c:v>1.4298128353201593</c:v>
                </c:pt>
                <c:pt idx="92">
                  <c:v>1.432560713082478</c:v>
                </c:pt>
                <c:pt idx="93">
                  <c:v>1.4353138718382317</c:v>
                </c:pt>
                <c:pt idx="94">
                  <c:v>1.4380723217366675</c:v>
                </c:pt>
                <c:pt idx="95">
                  <c:v>1.440836072946539</c:v>
                </c:pt>
                <c:pt idx="96">
                  <c:v>1.4436051356561417</c:v>
                </c:pt>
                <c:pt idx="97">
                  <c:v>1.4463795200733511</c:v>
                </c:pt>
                <c:pt idx="98">
                  <c:v>1.4491592364256614</c:v>
                </c:pt>
                <c:pt idx="99">
                  <c:v>1.4519442949602217</c:v>
                </c:pt>
                <c:pt idx="100">
                  <c:v>1.4547347059438756</c:v>
                </c:pt>
                <c:pt idx="101">
                  <c:v>1.4575304796631969</c:v>
                </c:pt>
                <c:pt idx="102">
                  <c:v>1.460331626424529</c:v>
                </c:pt>
                <c:pt idx="103">
                  <c:v>1.4631381565540222</c:v>
                </c:pt>
                <c:pt idx="104">
                  <c:v>1.4659500803976728</c:v>
                </c:pt>
                <c:pt idx="105">
                  <c:v>1.46876740832136</c:v>
                </c:pt>
                <c:pt idx="106">
                  <c:v>1.4715901507108844</c:v>
                </c:pt>
                <c:pt idx="107">
                  <c:v>1.4744183179720072</c:v>
                </c:pt>
                <c:pt idx="108">
                  <c:v>1.4772519205304868</c:v>
                </c:pt>
                <c:pt idx="109">
                  <c:v>1.4800909688321195</c:v>
                </c:pt>
                <c:pt idx="110">
                  <c:v>1.4829354733427755</c:v>
                </c:pt>
                <c:pt idx="111">
                  <c:v>1.48578544454844</c:v>
                </c:pt>
                <c:pt idx="112">
                  <c:v>1.4886408929552497</c:v>
                </c:pt>
                <c:pt idx="113">
                  <c:v>1.4915018290895332</c:v>
                </c:pt>
                <c:pt idx="114">
                  <c:v>1.4943682634978486</c:v>
                </c:pt>
                <c:pt idx="115">
                  <c:v>1.4972402067470227</c:v>
                </c:pt>
                <c:pt idx="116">
                  <c:v>1.5001176694241904</c:v>
                </c:pt>
                <c:pt idx="117">
                  <c:v>1.5030006621368339</c:v>
                </c:pt>
                <c:pt idx="118">
                  <c:v>1.50588919551282</c:v>
                </c:pt>
                <c:pt idx="119">
                  <c:v>1.5087832802004422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193-4419-BD37-06A273F5AF39}"/>
            </c:ext>
          </c:extLst>
        </c:ser>
        <c:ser>
          <c:idx val="1"/>
          <c:order val="1"/>
          <c:tx>
            <c:strRef>
              <c:f>Лист1!$C$1</c:f>
              <c:strCache>
                <c:ptCount val="1"/>
              </c:strCache>
            </c:strRef>
          </c:tx>
          <c:marker>
            <c:symbol val="none"/>
          </c:marker>
          <c:xVal>
            <c:strRef>
              <c:f>Лист1!$A$2:$A$560</c:f>
              <c:strCache>
                <c:ptCount val="120"/>
                <c:pt idx="0">
                  <c:v>Решение уравнений динамики с обратной связью по температуре топлива и аналитическое решение 
без обратной связи</c:v>
                </c:pt>
                <c:pt idx="2">
                  <c:v>Входные данные:  стандартный коэффициент реактивности =-2,5 на 10 в минус пятой, 0,001c время жизни мгновенных нейтронов </c:v>
                </c:pt>
                <c:pt idx="3">
                  <c:v>доля запаздывающих нейтронов 0,0065, N=W/Wном, номинальная мощность 3000МВт, Сотн=С/Cном -относительная доля зап.нейтронов</c:v>
                </c:pt>
                <c:pt idx="4">
                  <c:v>r -скачок реактивности в долях бета, лямбда =0,0768, Начальная температура топлива 800град, температура теплоносителя 300град</c:v>
                </c:pt>
                <c:pt idx="5">
                  <c:v>r</c:v>
                </c:pt>
                <c:pt idx="6">
                  <c:v>0,2</c:v>
                </c:pt>
                <c:pt idx="20">
                  <c:v>Время</c:v>
                </c:pt>
                <c:pt idx="21">
                  <c:v>0</c:v>
                </c:pt>
                <c:pt idx="22">
                  <c:v>0,1</c:v>
                </c:pt>
                <c:pt idx="23">
                  <c:v>0,2</c:v>
                </c:pt>
                <c:pt idx="24">
                  <c:v>0,3</c:v>
                </c:pt>
                <c:pt idx="25">
                  <c:v>0,4</c:v>
                </c:pt>
                <c:pt idx="26">
                  <c:v>0,5</c:v>
                </c:pt>
                <c:pt idx="27">
                  <c:v>0,6</c:v>
                </c:pt>
                <c:pt idx="28">
                  <c:v>0,7</c:v>
                </c:pt>
                <c:pt idx="29">
                  <c:v>0,8</c:v>
                </c:pt>
                <c:pt idx="30">
                  <c:v>0,9</c:v>
                </c:pt>
                <c:pt idx="31">
                  <c:v>1</c:v>
                </c:pt>
                <c:pt idx="32">
                  <c:v>1,1</c:v>
                </c:pt>
                <c:pt idx="33">
                  <c:v>1,2</c:v>
                </c:pt>
                <c:pt idx="34">
                  <c:v>1,3</c:v>
                </c:pt>
                <c:pt idx="35">
                  <c:v>1,4</c:v>
                </c:pt>
                <c:pt idx="36">
                  <c:v>1,5</c:v>
                </c:pt>
                <c:pt idx="37">
                  <c:v>1,6</c:v>
                </c:pt>
                <c:pt idx="38">
                  <c:v>1,7</c:v>
                </c:pt>
                <c:pt idx="39">
                  <c:v>1,8</c:v>
                </c:pt>
                <c:pt idx="40">
                  <c:v>1,9</c:v>
                </c:pt>
                <c:pt idx="41">
                  <c:v>2</c:v>
                </c:pt>
                <c:pt idx="42">
                  <c:v>2,1</c:v>
                </c:pt>
                <c:pt idx="43">
                  <c:v>2,2</c:v>
                </c:pt>
                <c:pt idx="44">
                  <c:v>2,3</c:v>
                </c:pt>
                <c:pt idx="45">
                  <c:v>2,4</c:v>
                </c:pt>
                <c:pt idx="46">
                  <c:v>2,5</c:v>
                </c:pt>
                <c:pt idx="47">
                  <c:v>2,6</c:v>
                </c:pt>
                <c:pt idx="48">
                  <c:v>2,7</c:v>
                </c:pt>
                <c:pt idx="49">
                  <c:v>2,8</c:v>
                </c:pt>
                <c:pt idx="50">
                  <c:v>2,9</c:v>
                </c:pt>
                <c:pt idx="51">
                  <c:v>3</c:v>
                </c:pt>
                <c:pt idx="52">
                  <c:v>3,1</c:v>
                </c:pt>
                <c:pt idx="53">
                  <c:v>3,2</c:v>
                </c:pt>
                <c:pt idx="54">
                  <c:v>3,3</c:v>
                </c:pt>
                <c:pt idx="55">
                  <c:v>3,4</c:v>
                </c:pt>
                <c:pt idx="56">
                  <c:v>3,5</c:v>
                </c:pt>
                <c:pt idx="57">
                  <c:v>3,6</c:v>
                </c:pt>
                <c:pt idx="58">
                  <c:v>3,7</c:v>
                </c:pt>
                <c:pt idx="59">
                  <c:v>3,8</c:v>
                </c:pt>
                <c:pt idx="60">
                  <c:v>3,9</c:v>
                </c:pt>
                <c:pt idx="61">
                  <c:v>4</c:v>
                </c:pt>
                <c:pt idx="62">
                  <c:v>4,1</c:v>
                </c:pt>
                <c:pt idx="63">
                  <c:v>4,2</c:v>
                </c:pt>
                <c:pt idx="64">
                  <c:v>4,3</c:v>
                </c:pt>
                <c:pt idx="65">
                  <c:v>4,4</c:v>
                </c:pt>
                <c:pt idx="66">
                  <c:v>4,5</c:v>
                </c:pt>
                <c:pt idx="67">
                  <c:v>4,6</c:v>
                </c:pt>
                <c:pt idx="68">
                  <c:v>4,7</c:v>
                </c:pt>
                <c:pt idx="69">
                  <c:v>4,8</c:v>
                </c:pt>
                <c:pt idx="70">
                  <c:v>4,9</c:v>
                </c:pt>
                <c:pt idx="71">
                  <c:v>5</c:v>
                </c:pt>
                <c:pt idx="72">
                  <c:v>5,1</c:v>
                </c:pt>
                <c:pt idx="73">
                  <c:v>5,2</c:v>
                </c:pt>
                <c:pt idx="74">
                  <c:v>5,3</c:v>
                </c:pt>
                <c:pt idx="75">
                  <c:v>5,4</c:v>
                </c:pt>
                <c:pt idx="76">
                  <c:v>5,5</c:v>
                </c:pt>
                <c:pt idx="77">
                  <c:v>5,6</c:v>
                </c:pt>
                <c:pt idx="78">
                  <c:v>5,7</c:v>
                </c:pt>
                <c:pt idx="79">
                  <c:v>5,8</c:v>
                </c:pt>
                <c:pt idx="80">
                  <c:v>5,9</c:v>
                </c:pt>
                <c:pt idx="81">
                  <c:v>6</c:v>
                </c:pt>
                <c:pt idx="82">
                  <c:v>6,1</c:v>
                </c:pt>
                <c:pt idx="83">
                  <c:v>6,2</c:v>
                </c:pt>
                <c:pt idx="84">
                  <c:v>6,3</c:v>
                </c:pt>
                <c:pt idx="85">
                  <c:v>6,4</c:v>
                </c:pt>
                <c:pt idx="86">
                  <c:v>6,5</c:v>
                </c:pt>
                <c:pt idx="87">
                  <c:v>6,6</c:v>
                </c:pt>
                <c:pt idx="88">
                  <c:v>6,7</c:v>
                </c:pt>
                <c:pt idx="89">
                  <c:v>6,8</c:v>
                </c:pt>
                <c:pt idx="90">
                  <c:v>6,9</c:v>
                </c:pt>
                <c:pt idx="91">
                  <c:v>7</c:v>
                </c:pt>
                <c:pt idx="92">
                  <c:v>7,1</c:v>
                </c:pt>
                <c:pt idx="93">
                  <c:v>7,2</c:v>
                </c:pt>
                <c:pt idx="94">
                  <c:v>7,3</c:v>
                </c:pt>
                <c:pt idx="95">
                  <c:v>7,4</c:v>
                </c:pt>
                <c:pt idx="96">
                  <c:v>7,5</c:v>
                </c:pt>
                <c:pt idx="97">
                  <c:v>7,6</c:v>
                </c:pt>
                <c:pt idx="98">
                  <c:v>7,7</c:v>
                </c:pt>
                <c:pt idx="99">
                  <c:v>7,8</c:v>
                </c:pt>
                <c:pt idx="100">
                  <c:v>7,9</c:v>
                </c:pt>
                <c:pt idx="101">
                  <c:v>8</c:v>
                </c:pt>
                <c:pt idx="102">
                  <c:v>8,1</c:v>
                </c:pt>
                <c:pt idx="103">
                  <c:v>8,2</c:v>
                </c:pt>
                <c:pt idx="104">
                  <c:v>8,3</c:v>
                </c:pt>
                <c:pt idx="105">
                  <c:v>8,4</c:v>
                </c:pt>
                <c:pt idx="106">
                  <c:v>8,5</c:v>
                </c:pt>
                <c:pt idx="107">
                  <c:v>8,6</c:v>
                </c:pt>
                <c:pt idx="108">
                  <c:v>8,7</c:v>
                </c:pt>
                <c:pt idx="109">
                  <c:v>8,8</c:v>
                </c:pt>
                <c:pt idx="110">
                  <c:v>8,9</c:v>
                </c:pt>
                <c:pt idx="111">
                  <c:v>9</c:v>
                </c:pt>
                <c:pt idx="112">
                  <c:v>9,1</c:v>
                </c:pt>
                <c:pt idx="113">
                  <c:v>9,2</c:v>
                </c:pt>
                <c:pt idx="114">
                  <c:v>9,3</c:v>
                </c:pt>
                <c:pt idx="115">
                  <c:v>9,4</c:v>
                </c:pt>
                <c:pt idx="116">
                  <c:v>9,5</c:v>
                </c:pt>
                <c:pt idx="117">
                  <c:v>9,6</c:v>
                </c:pt>
                <c:pt idx="118">
                  <c:v>9,7</c:v>
                </c:pt>
                <c:pt idx="119">
                  <c:v>9,8</c:v>
                </c:pt>
              </c:strCache>
            </c:strRef>
          </c:xVal>
          <c:yVal>
            <c:numRef>
              <c:f>Лист1!$C$2:$C$560</c:f>
              <c:numCache>
                <c:formatCode>General</c:formatCode>
                <c:ptCount val="559"/>
                <c:pt idx="5">
                  <c:v>0</c:v>
                </c:pt>
                <c:pt idx="6">
                  <c:v>0.1</c:v>
                </c:pt>
                <c:pt idx="20">
                  <c:v>0</c:v>
                </c:pt>
                <c:pt idx="21">
                  <c:v>1</c:v>
                </c:pt>
                <c:pt idx="22">
                  <c:v>1.1009186067619994</c:v>
                </c:pt>
                <c:pt idx="23">
                  <c:v>1.1587869889230971</c:v>
                </c:pt>
                <c:pt idx="24">
                  <c:v>1.1896363959670777</c:v>
                </c:pt>
                <c:pt idx="25">
                  <c:v>1.2037069306296115</c:v>
                </c:pt>
                <c:pt idx="26">
                  <c:v>1.207592038762203</c:v>
                </c:pt>
                <c:pt idx="27">
                  <c:v>1.2055183915532361</c:v>
                </c:pt>
                <c:pt idx="28">
                  <c:v>1.200160597243684</c:v>
                </c:pt>
                <c:pt idx="29">
                  <c:v>1.1931782222543668</c:v>
                </c:pt>
                <c:pt idx="30">
                  <c:v>1.1855740191067297</c:v>
                </c:pt>
                <c:pt idx="31">
                  <c:v>1.1779322504228433</c:v>
                </c:pt>
                <c:pt idx="32" formatCode="0%">
                  <c:v>1.1705755395795723</c:v>
                </c:pt>
                <c:pt idx="33">
                  <c:v>1.1636665673895985</c:v>
                </c:pt>
                <c:pt idx="34">
                  <c:v>1.1572728902408851</c:v>
                </c:pt>
                <c:pt idx="35">
                  <c:v>1.1514074934361198</c:v>
                </c:pt>
                <c:pt idx="36">
                  <c:v>1.1460536548204905</c:v>
                </c:pt>
                <c:pt idx="37">
                  <c:v>1.1411798419353079</c:v>
                </c:pt>
                <c:pt idx="38">
                  <c:v>1.1367483910153564</c:v>
                </c:pt>
                <c:pt idx="39">
                  <c:v>1.1327203780775519</c:v>
                </c:pt>
                <c:pt idx="40">
                  <c:v>1.129058204880359</c:v>
                </c:pt>
                <c:pt idx="41">
                  <c:v>1.1257268454732801</c:v>
                </c:pt>
                <c:pt idx="42">
                  <c:v>1.1226943306142074</c:v>
                </c:pt>
                <c:pt idx="43">
                  <c:v>1.1199318160473559</c:v>
                </c:pt>
                <c:pt idx="44">
                  <c:v>1.1174134377793592</c:v>
                </c:pt>
                <c:pt idx="45">
                  <c:v>1.1151160706602765</c:v>
                </c:pt>
                <c:pt idx="46">
                  <c:v>1.1130190546741145</c:v>
                </c:pt>
                <c:pt idx="47">
                  <c:v>1.111103922889854</c:v>
                </c:pt>
                <c:pt idx="48">
                  <c:v>1.1093541475458581</c:v>
                </c:pt>
                <c:pt idx="49">
                  <c:v>1.1077549109916696</c:v>
                </c:pt>
                <c:pt idx="50">
                  <c:v>1.1062929029889783</c:v>
                </c:pt>
                <c:pt idx="51">
                  <c:v>1.1049561432499737</c:v>
                </c:pt>
                <c:pt idx="52">
                  <c:v>1.1037338269223518</c:v>
                </c:pt>
                <c:pt idx="53">
                  <c:v>1.1026161903476253</c:v>
                </c:pt>
                <c:pt idx="54">
                  <c:v>1.1015943944398285</c:v>
                </c:pt>
                <c:pt idx="55">
                  <c:v>1.1006604232403958</c:v>
                </c:pt>
                <c:pt idx="56">
                  <c:v>1.0998069954851875</c:v>
                </c:pt>
                <c:pt idx="57">
                  <c:v>1.0990274873108012</c:v>
                </c:pt>
                <c:pt idx="58">
                  <c:v>1.0983158645003297</c:v>
                </c:pt>
                <c:pt idx="59">
                  <c:v>1.0976666229116894</c:v>
                </c:pt>
                <c:pt idx="60">
                  <c:v>1.0970747359415596</c:v>
                </c:pt>
                <c:pt idx="61">
                  <c:v>1.0965356080562572</c:v>
                </c:pt>
                <c:pt idx="62">
                  <c:v>1.0960450335707912</c:v>
                </c:pt>
                <c:pt idx="63">
                  <c:v>1.0955991599827659</c:v>
                </c:pt>
                <c:pt idx="64">
                  <c:v>1.0951944552725081</c:v>
                </c:pt>
                <c:pt idx="65">
                  <c:v>1.0948276786681723</c:v>
                </c:pt>
                <c:pt idx="66">
                  <c:v>1.0944958544476098</c:v>
                </c:pt>
                <c:pt idx="67">
                  <c:v>1.0941962484099328</c:v>
                </c:pt>
                <c:pt idx="68">
                  <c:v>1.093926346701058</c:v>
                </c:pt>
                <c:pt idx="69">
                  <c:v>1.0936838367207469</c:v>
                </c:pt>
                <c:pt idx="70">
                  <c:v>1.0934665898752081</c:v>
                </c:pt>
                <c:pt idx="71">
                  <c:v>1.0932726459702937</c:v>
                </c:pt>
                <c:pt idx="72">
                  <c:v>1.0931001990666764</c:v>
                </c:pt>
                <c:pt idx="73">
                  <c:v>1.092947584640878</c:v>
                </c:pt>
                <c:pt idx="74">
                  <c:v>1.0928132679152778</c:v>
                </c:pt>
                <c:pt idx="75">
                  <c:v>1.0926958332367667</c:v>
                </c:pt>
                <c:pt idx="76">
                  <c:v>1.0925939743979791</c:v>
                </c:pt>
                <c:pt idx="77">
                  <c:v>1.0925064858073446</c:v>
                </c:pt>
                <c:pt idx="78">
                  <c:v>1.0924322544248968</c:v>
                </c:pt>
                <c:pt idx="79">
                  <c:v>1.0923702523900569</c:v>
                </c:pt>
                <c:pt idx="80">
                  <c:v>1.0923195302757176</c:v>
                </c:pt>
                <c:pt idx="81">
                  <c:v>1.0922792109100266</c:v>
                </c:pt>
                <c:pt idx="82">
                  <c:v>1.0922484837134896</c:v>
                </c:pt>
                <c:pt idx="83">
                  <c:v>1.0922265995044522</c:v>
                </c:pt>
                <c:pt idx="84">
                  <c:v>1.0922128657308425</c:v>
                </c:pt>
                <c:pt idx="85">
                  <c:v>1.0922066420902936</c:v>
                </c:pt>
                <c:pt idx="86">
                  <c:v>1.0922073365045231</c:v>
                </c:pt>
                <c:pt idx="87">
                  <c:v>1.092214401417184</c:v>
                </c:pt>
                <c:pt idx="88">
                  <c:v>1.0922273303873629</c:v>
                </c:pt>
                <c:pt idx="89">
                  <c:v>1.0922456549535435</c:v>
                </c:pt>
                <c:pt idx="90">
                  <c:v>1.0922689417452132</c:v>
                </c:pt>
                <c:pt idx="91">
                  <c:v>1.0922967898213922</c:v>
                </c:pt>
                <c:pt idx="92">
                  <c:v>1.0923288282172652</c:v>
                </c:pt>
                <c:pt idx="93">
                  <c:v>1.092364713681784</c:v>
                </c:pt>
                <c:pt idx="94">
                  <c:v>1.0924041285906387</c:v>
                </c:pt>
                <c:pt idx="95">
                  <c:v>1.0924467790203707</c:v>
                </c:pt>
                <c:pt idx="96">
                  <c:v>1.0924923929706387</c:v>
                </c:pt>
                <c:pt idx="97">
                  <c:v>1.0925407187227707</c:v>
                </c:pt>
                <c:pt idx="98">
                  <c:v>1.0925915233237484</c:v>
                </c:pt>
                <c:pt idx="99">
                  <c:v>1.0926445911856935</c:v>
                </c:pt>
                <c:pt idx="100">
                  <c:v>1.0926997227917492</c:v>
                </c:pt>
                <c:pt idx="101">
                  <c:v>1.0927567335000234</c:v>
                </c:pt>
                <c:pt idx="102">
                  <c:v>1.0928154524379319</c:v>
                </c:pt>
                <c:pt idx="103">
                  <c:v>1.0928757214799183</c:v>
                </c:pt>
                <c:pt idx="104">
                  <c:v>1.0929373943021008</c:v>
                </c:pt>
                <c:pt idx="105">
                  <c:v>1.0930003355079061</c:v>
                </c:pt>
                <c:pt idx="106">
                  <c:v>1.0930644198192436</c:v>
                </c:pt>
                <c:pt idx="107">
                  <c:v>1.0931295313281928</c:v>
                </c:pt>
                <c:pt idx="108">
                  <c:v>1.0931955628045871</c:v>
                </c:pt>
                <c:pt idx="109">
                  <c:v>1.0932624150552404</c:v>
                </c:pt>
                <c:pt idx="110">
                  <c:v>1.0933299963308896</c:v>
                </c:pt>
                <c:pt idx="111">
                  <c:v>1.0933982217772447</c:v>
                </c:pt>
                <c:pt idx="112">
                  <c:v>1.0934670129268129</c:v>
                </c:pt>
                <c:pt idx="113">
                  <c:v>1.0935362972284195</c:v>
                </c:pt>
                <c:pt idx="114">
                  <c:v>1.0936060076115963</c:v>
                </c:pt>
                <c:pt idx="115">
                  <c:v>1.0936760820832125</c:v>
                </c:pt>
                <c:pt idx="116">
                  <c:v>1.0937464633539378</c:v>
                </c:pt>
                <c:pt idx="117">
                  <c:v>1.0938170984923024</c:v>
                </c:pt>
                <c:pt idx="118">
                  <c:v>1.0938879386042948</c:v>
                </c:pt>
                <c:pt idx="119">
                  <c:v>1.0939589385365898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193-4419-BD37-06A273F5AF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6265408"/>
        <c:axId val="166265984"/>
      </c:scatterChart>
      <c:valAx>
        <c:axId val="166265408"/>
        <c:scaling>
          <c:orientation val="minMax"/>
        </c:scaling>
        <c:delete val="0"/>
        <c:axPos val="b"/>
        <c:numFmt formatCode="\О\с\н\о\в\н\о\й" sourceLinked="1"/>
        <c:majorTickMark val="out"/>
        <c:minorTickMark val="none"/>
        <c:tickLblPos val="nextTo"/>
        <c:crossAx val="166265984"/>
        <c:crosses val="autoZero"/>
        <c:crossBetween val="midCat"/>
      </c:valAx>
      <c:valAx>
        <c:axId val="16626598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66265408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ru-RU" sz="1200"/>
              <a:t>Изменение мощности и температуры в реакторе с обратной связью по температуре топлива</a:t>
            </a:r>
          </a:p>
        </c:rich>
      </c:tx>
      <c:layout>
        <c:manualLayout>
          <c:xMode val="edge"/>
          <c:yMode val="edge"/>
          <c:x val="0.12405756357268997"/>
          <c:y val="0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7.6884219486788918E-2"/>
          <c:y val="7.4290278478421401E-2"/>
          <c:w val="0.65810870516185482"/>
          <c:h val="0.8326195683872849"/>
        </c:manualLayout>
      </c:layout>
      <c:scatterChart>
        <c:scatterStyle val="smoothMarker"/>
        <c:varyColors val="0"/>
        <c:ser>
          <c:idx val="0"/>
          <c:order val="0"/>
          <c:tx>
            <c:v>мощность без обр. связи</c:v>
          </c:tx>
          <c:marker>
            <c:symbol val="none"/>
          </c:marker>
          <c:xVal>
            <c:numRef>
              <c:f>Лист1!$A$23:$A$121</c:f>
              <c:numCache>
                <c:formatCode>General</c:formatCode>
                <c:ptCount val="99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0.30000000000000004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0.79999999999999993</c:v>
                </c:pt>
                <c:pt idx="9">
                  <c:v>0.89999999999999991</c:v>
                </c:pt>
                <c:pt idx="10">
                  <c:v>0.99999999999999989</c:v>
                </c:pt>
                <c:pt idx="11">
                  <c:v>1.0999999999999999</c:v>
                </c:pt>
                <c:pt idx="12">
                  <c:v>1.2</c:v>
                </c:pt>
                <c:pt idx="13">
                  <c:v>1.3</c:v>
                </c:pt>
                <c:pt idx="14">
                  <c:v>1.4000000000000001</c:v>
                </c:pt>
                <c:pt idx="15">
                  <c:v>1.5000000000000002</c:v>
                </c:pt>
                <c:pt idx="16">
                  <c:v>1.6000000000000003</c:v>
                </c:pt>
                <c:pt idx="17">
                  <c:v>1.7000000000000004</c:v>
                </c:pt>
                <c:pt idx="18">
                  <c:v>1.8000000000000005</c:v>
                </c:pt>
                <c:pt idx="19">
                  <c:v>1.9000000000000006</c:v>
                </c:pt>
                <c:pt idx="20">
                  <c:v>2.0000000000000004</c:v>
                </c:pt>
                <c:pt idx="21">
                  <c:v>2.1000000000000005</c:v>
                </c:pt>
                <c:pt idx="22">
                  <c:v>2.2000000000000006</c:v>
                </c:pt>
                <c:pt idx="23">
                  <c:v>2.3000000000000007</c:v>
                </c:pt>
                <c:pt idx="24">
                  <c:v>2.4000000000000008</c:v>
                </c:pt>
                <c:pt idx="25">
                  <c:v>2.5000000000000009</c:v>
                </c:pt>
                <c:pt idx="26">
                  <c:v>2.600000000000001</c:v>
                </c:pt>
                <c:pt idx="27">
                  <c:v>2.7000000000000011</c:v>
                </c:pt>
                <c:pt idx="28">
                  <c:v>2.8000000000000012</c:v>
                </c:pt>
                <c:pt idx="29">
                  <c:v>2.9000000000000012</c:v>
                </c:pt>
                <c:pt idx="30">
                  <c:v>3.0000000000000013</c:v>
                </c:pt>
                <c:pt idx="31">
                  <c:v>3.1000000000000014</c:v>
                </c:pt>
                <c:pt idx="32">
                  <c:v>3.2000000000000015</c:v>
                </c:pt>
                <c:pt idx="33">
                  <c:v>3.3000000000000016</c:v>
                </c:pt>
                <c:pt idx="34">
                  <c:v>3.4000000000000017</c:v>
                </c:pt>
                <c:pt idx="35">
                  <c:v>3.5000000000000018</c:v>
                </c:pt>
                <c:pt idx="36">
                  <c:v>3.6000000000000019</c:v>
                </c:pt>
                <c:pt idx="37">
                  <c:v>3.700000000000002</c:v>
                </c:pt>
                <c:pt idx="38">
                  <c:v>3.800000000000002</c:v>
                </c:pt>
                <c:pt idx="39">
                  <c:v>3.9000000000000021</c:v>
                </c:pt>
                <c:pt idx="40">
                  <c:v>4.0000000000000018</c:v>
                </c:pt>
                <c:pt idx="41">
                  <c:v>4.1000000000000014</c:v>
                </c:pt>
                <c:pt idx="42">
                  <c:v>4.2000000000000011</c:v>
                </c:pt>
                <c:pt idx="43">
                  <c:v>4.3000000000000007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4.6999999999999993</c:v>
                </c:pt>
                <c:pt idx="48">
                  <c:v>4.7999999999999989</c:v>
                </c:pt>
                <c:pt idx="49">
                  <c:v>4.8999999999999986</c:v>
                </c:pt>
                <c:pt idx="50">
                  <c:v>4.9999999999999982</c:v>
                </c:pt>
                <c:pt idx="51">
                  <c:v>5.0999999999999979</c:v>
                </c:pt>
                <c:pt idx="52">
                  <c:v>5.1999999999999975</c:v>
                </c:pt>
                <c:pt idx="53">
                  <c:v>5.2999999999999972</c:v>
                </c:pt>
                <c:pt idx="54">
                  <c:v>5.3999999999999968</c:v>
                </c:pt>
                <c:pt idx="55">
                  <c:v>5.4999999999999964</c:v>
                </c:pt>
                <c:pt idx="56">
                  <c:v>5.5999999999999961</c:v>
                </c:pt>
                <c:pt idx="57">
                  <c:v>5.6999999999999957</c:v>
                </c:pt>
                <c:pt idx="58">
                  <c:v>5.7999999999999954</c:v>
                </c:pt>
                <c:pt idx="59">
                  <c:v>5.899999999999995</c:v>
                </c:pt>
                <c:pt idx="60">
                  <c:v>5.9999999999999947</c:v>
                </c:pt>
                <c:pt idx="61">
                  <c:v>6.0999999999999943</c:v>
                </c:pt>
                <c:pt idx="62">
                  <c:v>6.199999999999994</c:v>
                </c:pt>
                <c:pt idx="63">
                  <c:v>6.2999999999999936</c:v>
                </c:pt>
                <c:pt idx="64">
                  <c:v>6.3999999999999932</c:v>
                </c:pt>
                <c:pt idx="65">
                  <c:v>6.4999999999999929</c:v>
                </c:pt>
                <c:pt idx="66">
                  <c:v>6.5999999999999925</c:v>
                </c:pt>
                <c:pt idx="67">
                  <c:v>6.6999999999999922</c:v>
                </c:pt>
                <c:pt idx="68">
                  <c:v>6.7999999999999918</c:v>
                </c:pt>
                <c:pt idx="69">
                  <c:v>6.8999999999999915</c:v>
                </c:pt>
                <c:pt idx="70">
                  <c:v>6.9999999999999911</c:v>
                </c:pt>
                <c:pt idx="71">
                  <c:v>7.0999999999999908</c:v>
                </c:pt>
                <c:pt idx="72">
                  <c:v>7.1999999999999904</c:v>
                </c:pt>
                <c:pt idx="73">
                  <c:v>7.2999999999999901</c:v>
                </c:pt>
                <c:pt idx="74">
                  <c:v>7.3999999999999897</c:v>
                </c:pt>
                <c:pt idx="75">
                  <c:v>7.4999999999999893</c:v>
                </c:pt>
                <c:pt idx="76">
                  <c:v>7.599999999999989</c:v>
                </c:pt>
                <c:pt idx="77">
                  <c:v>7.6999999999999886</c:v>
                </c:pt>
                <c:pt idx="78">
                  <c:v>7.7999999999999883</c:v>
                </c:pt>
                <c:pt idx="79">
                  <c:v>7.8999999999999879</c:v>
                </c:pt>
                <c:pt idx="80">
                  <c:v>7.9999999999999876</c:v>
                </c:pt>
                <c:pt idx="81">
                  <c:v>8.0999999999999872</c:v>
                </c:pt>
                <c:pt idx="82">
                  <c:v>8.1999999999999869</c:v>
                </c:pt>
                <c:pt idx="83">
                  <c:v>8.2999999999999865</c:v>
                </c:pt>
                <c:pt idx="84">
                  <c:v>8.3999999999999861</c:v>
                </c:pt>
                <c:pt idx="85">
                  <c:v>8.4999999999999858</c:v>
                </c:pt>
                <c:pt idx="86">
                  <c:v>8.5999999999999854</c:v>
                </c:pt>
                <c:pt idx="87">
                  <c:v>8.6999999999999851</c:v>
                </c:pt>
                <c:pt idx="88">
                  <c:v>8.7999999999999847</c:v>
                </c:pt>
                <c:pt idx="89">
                  <c:v>8.8999999999999844</c:v>
                </c:pt>
                <c:pt idx="90">
                  <c:v>8.999999999999984</c:v>
                </c:pt>
                <c:pt idx="91">
                  <c:v>9.0999999999999837</c:v>
                </c:pt>
                <c:pt idx="92">
                  <c:v>9.1999999999999833</c:v>
                </c:pt>
                <c:pt idx="93">
                  <c:v>9.2999999999999829</c:v>
                </c:pt>
                <c:pt idx="94">
                  <c:v>9.3999999999999826</c:v>
                </c:pt>
                <c:pt idx="95">
                  <c:v>9.4999999999999822</c:v>
                </c:pt>
                <c:pt idx="96">
                  <c:v>9.5999999999999819</c:v>
                </c:pt>
                <c:pt idx="97">
                  <c:v>9.6999999999999815</c:v>
                </c:pt>
                <c:pt idx="98">
                  <c:v>9.7999999999999812</c:v>
                </c:pt>
              </c:numCache>
            </c:numRef>
          </c:xVal>
          <c:yVal>
            <c:numRef>
              <c:f>Лист1!$B$23:$B$121</c:f>
              <c:numCache>
                <c:formatCode>General</c:formatCode>
                <c:ptCount val="99"/>
                <c:pt idx="0">
                  <c:v>1</c:v>
                </c:pt>
                <c:pt idx="1">
                  <c:v>1.1037721684827195</c:v>
                </c:pt>
                <c:pt idx="2">
                  <c:v>1.1664455573181183</c:v>
                </c:pt>
                <c:pt idx="3">
                  <c:v>1.2046867580703258</c:v>
                </c:pt>
                <c:pt idx="4">
                  <c:v>1.2284044055036671</c:v>
                </c:pt>
                <c:pt idx="5">
                  <c:v>1.2434893902096351</c:v>
                </c:pt>
                <c:pt idx="6">
                  <c:v>1.2534439713194487</c:v>
                </c:pt>
                <c:pt idx="7">
                  <c:v>1.2603503174866371</c:v>
                </c:pt>
                <c:pt idx="8">
                  <c:v>1.2654463244027561</c:v>
                </c:pt>
                <c:pt idx="9">
                  <c:v>1.2694679501423713</c:v>
                </c:pt>
                <c:pt idx="10">
                  <c:v>1.2728527405599641</c:v>
                </c:pt>
                <c:pt idx="11">
                  <c:v>1.2758608293204368</c:v>
                </c:pt>
                <c:pt idx="12">
                  <c:v>1.278646874903568</c:v>
                </c:pt>
                <c:pt idx="13">
                  <c:v>1.281302828631335</c:v>
                </c:pt>
                <c:pt idx="14">
                  <c:v>1.2838833611389644</c:v>
                </c:pt>
                <c:pt idx="15">
                  <c:v>1.2864209789344487</c:v>
                </c:pt>
                <c:pt idx="16">
                  <c:v>1.2889350115038094</c:v>
                </c:pt>
                <c:pt idx="17">
                  <c:v>1.291436954329851</c:v>
                </c:pt>
                <c:pt idx="18">
                  <c:v>1.2939336454266182</c:v>
                </c:pt>
                <c:pt idx="19">
                  <c:v>1.2964291538544115</c:v>
                </c:pt>
                <c:pt idx="20">
                  <c:v>1.298925902480784</c:v>
                </c:pt>
                <c:pt idx="21">
                  <c:v>1.3014253354850389</c:v>
                </c:pt>
                <c:pt idx="22">
                  <c:v>1.3039283152033834</c:v>
                </c:pt>
                <c:pt idx="23">
                  <c:v>1.3064353580615378</c:v>
                </c:pt>
                <c:pt idx="24">
                  <c:v>1.3089467748415364</c:v>
                </c:pt>
                <c:pt idx="25">
                  <c:v>1.3114627540732364</c:v>
                </c:pt>
                <c:pt idx="26">
                  <c:v>1.3139834116122955</c:v>
                </c:pt>
                <c:pt idx="27">
                  <c:v>1.3165088201153137</c:v>
                </c:pt>
                <c:pt idx="28">
                  <c:v>1.3190390265634244</c:v>
                </c:pt>
                <c:pt idx="29">
                  <c:v>1.321574062680444</c:v>
                </c:pt>
                <c:pt idx="30">
                  <c:v>1.3241139511266875</c:v>
                </c:pt>
                <c:pt idx="31">
                  <c:v>1.3266587091813367</c:v>
                </c:pt>
                <c:pt idx="32">
                  <c:v>1.3292083509316945</c:v>
                </c:pt>
                <c:pt idx="33">
                  <c:v>1.3317628885747574</c:v>
                </c:pt>
                <c:pt idx="34">
                  <c:v>1.3343223331910412</c:v>
                </c:pt>
                <c:pt idx="35">
                  <c:v>1.3368866952046499</c:v>
                </c:pt>
                <c:pt idx="36">
                  <c:v>1.3394559846568097</c:v>
                </c:pt>
                <c:pt idx="37">
                  <c:v>1.3420302113685068</c:v>
                </c:pt>
                <c:pt idx="38">
                  <c:v>1.3446093850371899</c:v>
                </c:pt>
                <c:pt idx="39">
                  <c:v>1.3471935152942796</c:v>
                </c:pt>
                <c:pt idx="40">
                  <c:v>1.3497826117393703</c:v>
                </c:pt>
                <c:pt idx="41">
                  <c:v>1.3523766839605798</c:v>
                </c:pt>
                <c:pt idx="42">
                  <c:v>1.3549757415466621</c:v>
                </c:pt>
                <c:pt idx="43">
                  <c:v>1.3575797940942207</c:v>
                </c:pt>
                <c:pt idx="44">
                  <c:v>1.3601888512120153</c:v>
                </c:pt>
                <c:pt idx="45">
                  <c:v>1.3628029225235316</c:v>
                </c:pt>
                <c:pt idx="46">
                  <c:v>1.3654220176685294</c:v>
                </c:pt>
                <c:pt idx="47">
                  <c:v>1.3680461463039719</c:v>
                </c:pt>
                <c:pt idx="48">
                  <c:v>1.3706753181045963</c:v>
                </c:pt>
                <c:pt idx="49">
                  <c:v>1.3733095427632664</c:v>
                </c:pt>
                <c:pt idx="50">
                  <c:v>1.3759488299911964</c:v>
                </c:pt>
                <c:pt idx="51">
                  <c:v>1.3785931895180978</c:v>
                </c:pt>
                <c:pt idx="52">
                  <c:v>1.3812426310922845</c:v>
                </c:pt>
                <c:pt idx="53">
                  <c:v>1.3838971644807456</c:v>
                </c:pt>
                <c:pt idx="54">
                  <c:v>1.3865567994692072</c:v>
                </c:pt>
                <c:pt idx="55">
                  <c:v>1.3892215458621802</c:v>
                </c:pt>
                <c:pt idx="56">
                  <c:v>1.3918914134830067</c:v>
                </c:pt>
                <c:pt idx="57">
                  <c:v>1.3945664121739008</c:v>
                </c:pt>
                <c:pt idx="58">
                  <c:v>1.3972465517959867</c:v>
                </c:pt>
                <c:pt idx="59">
                  <c:v>1.3999318422293381</c:v>
                </c:pt>
                <c:pt idx="60">
                  <c:v>1.4026222933730144</c:v>
                </c:pt>
                <c:pt idx="61">
                  <c:v>1.4053179151450996</c:v>
                </c:pt>
                <c:pt idx="62">
                  <c:v>1.4080187174827377</c:v>
                </c:pt>
                <c:pt idx="63">
                  <c:v>1.4107247103421698</c:v>
                </c:pt>
                <c:pt idx="64">
                  <c:v>1.4134359036987711</c:v>
                </c:pt>
                <c:pt idx="65">
                  <c:v>1.4161523075470885</c:v>
                </c:pt>
                <c:pt idx="66">
                  <c:v>1.4188739319008756</c:v>
                </c:pt>
                <c:pt idx="67">
                  <c:v>1.4216007867931322</c:v>
                </c:pt>
                <c:pt idx="68">
                  <c:v>1.4243328822761392</c:v>
                </c:pt>
                <c:pt idx="69">
                  <c:v>1.4270702284214962</c:v>
                </c:pt>
                <c:pt idx="70">
                  <c:v>1.4298128353201593</c:v>
                </c:pt>
                <c:pt idx="71">
                  <c:v>1.432560713082478</c:v>
                </c:pt>
                <c:pt idx="72">
                  <c:v>1.4353138718382317</c:v>
                </c:pt>
                <c:pt idx="73">
                  <c:v>1.4380723217366675</c:v>
                </c:pt>
                <c:pt idx="74">
                  <c:v>1.440836072946539</c:v>
                </c:pt>
                <c:pt idx="75">
                  <c:v>1.4436051356561417</c:v>
                </c:pt>
                <c:pt idx="76">
                  <c:v>1.4463795200733511</c:v>
                </c:pt>
                <c:pt idx="77">
                  <c:v>1.4491592364256614</c:v>
                </c:pt>
                <c:pt idx="78">
                  <c:v>1.4519442949602217</c:v>
                </c:pt>
                <c:pt idx="79">
                  <c:v>1.4547347059438756</c:v>
                </c:pt>
                <c:pt idx="80">
                  <c:v>1.4575304796631969</c:v>
                </c:pt>
                <c:pt idx="81">
                  <c:v>1.460331626424529</c:v>
                </c:pt>
                <c:pt idx="82">
                  <c:v>1.4631381565540222</c:v>
                </c:pt>
                <c:pt idx="83">
                  <c:v>1.4659500803976728</c:v>
                </c:pt>
                <c:pt idx="84">
                  <c:v>1.46876740832136</c:v>
                </c:pt>
                <c:pt idx="85">
                  <c:v>1.4715901507108844</c:v>
                </c:pt>
                <c:pt idx="86">
                  <c:v>1.4744183179720072</c:v>
                </c:pt>
                <c:pt idx="87">
                  <c:v>1.4772519205304868</c:v>
                </c:pt>
                <c:pt idx="88">
                  <c:v>1.4800909688321195</c:v>
                </c:pt>
                <c:pt idx="89">
                  <c:v>1.4829354733427755</c:v>
                </c:pt>
                <c:pt idx="90">
                  <c:v>1.48578544454844</c:v>
                </c:pt>
                <c:pt idx="91">
                  <c:v>1.4886408929552497</c:v>
                </c:pt>
                <c:pt idx="92">
                  <c:v>1.4915018290895332</c:v>
                </c:pt>
                <c:pt idx="93">
                  <c:v>1.4943682634978486</c:v>
                </c:pt>
                <c:pt idx="94">
                  <c:v>1.4972402067470227</c:v>
                </c:pt>
                <c:pt idx="95">
                  <c:v>1.5001176694241904</c:v>
                </c:pt>
                <c:pt idx="96">
                  <c:v>1.5030006621368339</c:v>
                </c:pt>
                <c:pt idx="97">
                  <c:v>1.50588919551282</c:v>
                </c:pt>
                <c:pt idx="98">
                  <c:v>1.5087832802004422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6A1-4B21-ADC5-3DA4D95F4474}"/>
            </c:ext>
          </c:extLst>
        </c:ser>
        <c:ser>
          <c:idx val="2"/>
          <c:order val="1"/>
          <c:tx>
            <c:v>температура</c:v>
          </c:tx>
          <c:marker>
            <c:symbol val="none"/>
          </c:marker>
          <c:xVal>
            <c:numRef>
              <c:f>Лист1!$A$23:$A$120</c:f>
              <c:numCache>
                <c:formatCode>General</c:formatCode>
                <c:ptCount val="98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0.30000000000000004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0.79999999999999993</c:v>
                </c:pt>
                <c:pt idx="9">
                  <c:v>0.89999999999999991</c:v>
                </c:pt>
                <c:pt idx="10">
                  <c:v>0.99999999999999989</c:v>
                </c:pt>
                <c:pt idx="11">
                  <c:v>1.0999999999999999</c:v>
                </c:pt>
                <c:pt idx="12">
                  <c:v>1.2</c:v>
                </c:pt>
                <c:pt idx="13">
                  <c:v>1.3</c:v>
                </c:pt>
                <c:pt idx="14">
                  <c:v>1.4000000000000001</c:v>
                </c:pt>
                <c:pt idx="15">
                  <c:v>1.5000000000000002</c:v>
                </c:pt>
                <c:pt idx="16">
                  <c:v>1.6000000000000003</c:v>
                </c:pt>
                <c:pt idx="17">
                  <c:v>1.7000000000000004</c:v>
                </c:pt>
                <c:pt idx="18">
                  <c:v>1.8000000000000005</c:v>
                </c:pt>
                <c:pt idx="19">
                  <c:v>1.9000000000000006</c:v>
                </c:pt>
                <c:pt idx="20">
                  <c:v>2.0000000000000004</c:v>
                </c:pt>
                <c:pt idx="21">
                  <c:v>2.1000000000000005</c:v>
                </c:pt>
                <c:pt idx="22">
                  <c:v>2.2000000000000006</c:v>
                </c:pt>
                <c:pt idx="23">
                  <c:v>2.3000000000000007</c:v>
                </c:pt>
                <c:pt idx="24">
                  <c:v>2.4000000000000008</c:v>
                </c:pt>
                <c:pt idx="25">
                  <c:v>2.5000000000000009</c:v>
                </c:pt>
                <c:pt idx="26">
                  <c:v>2.600000000000001</c:v>
                </c:pt>
                <c:pt idx="27">
                  <c:v>2.7000000000000011</c:v>
                </c:pt>
                <c:pt idx="28">
                  <c:v>2.8000000000000012</c:v>
                </c:pt>
                <c:pt idx="29">
                  <c:v>2.9000000000000012</c:v>
                </c:pt>
                <c:pt idx="30">
                  <c:v>3.0000000000000013</c:v>
                </c:pt>
                <c:pt idx="31">
                  <c:v>3.1000000000000014</c:v>
                </c:pt>
                <c:pt idx="32">
                  <c:v>3.2000000000000015</c:v>
                </c:pt>
                <c:pt idx="33">
                  <c:v>3.3000000000000016</c:v>
                </c:pt>
                <c:pt idx="34">
                  <c:v>3.4000000000000017</c:v>
                </c:pt>
                <c:pt idx="35">
                  <c:v>3.5000000000000018</c:v>
                </c:pt>
                <c:pt idx="36">
                  <c:v>3.6000000000000019</c:v>
                </c:pt>
                <c:pt idx="37">
                  <c:v>3.700000000000002</c:v>
                </c:pt>
                <c:pt idx="38">
                  <c:v>3.800000000000002</c:v>
                </c:pt>
                <c:pt idx="39">
                  <c:v>3.9000000000000021</c:v>
                </c:pt>
                <c:pt idx="40">
                  <c:v>4.0000000000000018</c:v>
                </c:pt>
                <c:pt idx="41">
                  <c:v>4.1000000000000014</c:v>
                </c:pt>
                <c:pt idx="42">
                  <c:v>4.2000000000000011</c:v>
                </c:pt>
                <c:pt idx="43">
                  <c:v>4.3000000000000007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4.6999999999999993</c:v>
                </c:pt>
                <c:pt idx="48">
                  <c:v>4.7999999999999989</c:v>
                </c:pt>
                <c:pt idx="49">
                  <c:v>4.8999999999999986</c:v>
                </c:pt>
                <c:pt idx="50">
                  <c:v>4.9999999999999982</c:v>
                </c:pt>
                <c:pt idx="51">
                  <c:v>5.0999999999999979</c:v>
                </c:pt>
                <c:pt idx="52">
                  <c:v>5.1999999999999975</c:v>
                </c:pt>
                <c:pt idx="53">
                  <c:v>5.2999999999999972</c:v>
                </c:pt>
                <c:pt idx="54">
                  <c:v>5.3999999999999968</c:v>
                </c:pt>
                <c:pt idx="55">
                  <c:v>5.4999999999999964</c:v>
                </c:pt>
                <c:pt idx="56">
                  <c:v>5.5999999999999961</c:v>
                </c:pt>
                <c:pt idx="57">
                  <c:v>5.6999999999999957</c:v>
                </c:pt>
                <c:pt idx="58">
                  <c:v>5.7999999999999954</c:v>
                </c:pt>
                <c:pt idx="59">
                  <c:v>5.899999999999995</c:v>
                </c:pt>
                <c:pt idx="60">
                  <c:v>5.9999999999999947</c:v>
                </c:pt>
                <c:pt idx="61">
                  <c:v>6.0999999999999943</c:v>
                </c:pt>
                <c:pt idx="62">
                  <c:v>6.199999999999994</c:v>
                </c:pt>
                <c:pt idx="63">
                  <c:v>6.2999999999999936</c:v>
                </c:pt>
                <c:pt idx="64">
                  <c:v>6.3999999999999932</c:v>
                </c:pt>
                <c:pt idx="65">
                  <c:v>6.4999999999999929</c:v>
                </c:pt>
                <c:pt idx="66">
                  <c:v>6.5999999999999925</c:v>
                </c:pt>
                <c:pt idx="67">
                  <c:v>6.6999999999999922</c:v>
                </c:pt>
                <c:pt idx="68">
                  <c:v>6.7999999999999918</c:v>
                </c:pt>
                <c:pt idx="69">
                  <c:v>6.8999999999999915</c:v>
                </c:pt>
                <c:pt idx="70">
                  <c:v>6.9999999999999911</c:v>
                </c:pt>
                <c:pt idx="71">
                  <c:v>7.0999999999999908</c:v>
                </c:pt>
                <c:pt idx="72">
                  <c:v>7.1999999999999904</c:v>
                </c:pt>
                <c:pt idx="73">
                  <c:v>7.2999999999999901</c:v>
                </c:pt>
                <c:pt idx="74">
                  <c:v>7.3999999999999897</c:v>
                </c:pt>
                <c:pt idx="75">
                  <c:v>7.4999999999999893</c:v>
                </c:pt>
                <c:pt idx="76">
                  <c:v>7.599999999999989</c:v>
                </c:pt>
                <c:pt idx="77">
                  <c:v>7.6999999999999886</c:v>
                </c:pt>
                <c:pt idx="78">
                  <c:v>7.7999999999999883</c:v>
                </c:pt>
                <c:pt idx="79">
                  <c:v>7.8999999999999879</c:v>
                </c:pt>
                <c:pt idx="80">
                  <c:v>7.9999999999999876</c:v>
                </c:pt>
                <c:pt idx="81">
                  <c:v>8.0999999999999872</c:v>
                </c:pt>
                <c:pt idx="82">
                  <c:v>8.1999999999999869</c:v>
                </c:pt>
                <c:pt idx="83">
                  <c:v>8.2999999999999865</c:v>
                </c:pt>
                <c:pt idx="84">
                  <c:v>8.3999999999999861</c:v>
                </c:pt>
                <c:pt idx="85">
                  <c:v>8.4999999999999858</c:v>
                </c:pt>
                <c:pt idx="86">
                  <c:v>8.5999999999999854</c:v>
                </c:pt>
                <c:pt idx="87">
                  <c:v>8.6999999999999851</c:v>
                </c:pt>
                <c:pt idx="88">
                  <c:v>8.7999999999999847</c:v>
                </c:pt>
                <c:pt idx="89">
                  <c:v>8.8999999999999844</c:v>
                </c:pt>
                <c:pt idx="90">
                  <c:v>8.999999999999984</c:v>
                </c:pt>
                <c:pt idx="91">
                  <c:v>9.0999999999999837</c:v>
                </c:pt>
                <c:pt idx="92">
                  <c:v>9.1999999999999833</c:v>
                </c:pt>
                <c:pt idx="93">
                  <c:v>9.2999999999999829</c:v>
                </c:pt>
                <c:pt idx="94">
                  <c:v>9.3999999999999826</c:v>
                </c:pt>
                <c:pt idx="95">
                  <c:v>9.4999999999999822</c:v>
                </c:pt>
                <c:pt idx="96">
                  <c:v>9.5999999999999819</c:v>
                </c:pt>
                <c:pt idx="97">
                  <c:v>9.6999999999999815</c:v>
                </c:pt>
              </c:numCache>
            </c:numRef>
          </c:xVal>
          <c:yVal>
            <c:numRef>
              <c:f>Лист1!$O$23:$O$120</c:f>
              <c:numCache>
                <c:formatCode>General</c:formatCode>
                <c:ptCount val="98"/>
                <c:pt idx="0">
                  <c:v>1</c:v>
                </c:pt>
                <c:pt idx="1">
                  <c:v>1.0007536650723141</c:v>
                </c:pt>
                <c:pt idx="2">
                  <c:v>1.0026170076640613</c:v>
                </c:pt>
                <c:pt idx="3">
                  <c:v>1.0050647823482441</c:v>
                </c:pt>
                <c:pt idx="4">
                  <c:v>1.0077711348035678</c:v>
                </c:pt>
                <c:pt idx="5">
                  <c:v>1.0105379680275679</c:v>
                </c:pt>
                <c:pt idx="6">
                  <c:v>1.0132490859255214</c:v>
                </c:pt>
                <c:pt idx="7">
                  <c:v>1.0158402764087058</c:v>
                </c:pt>
                <c:pt idx="8">
                  <c:v>1.0182797387741356</c:v>
                </c:pt>
                <c:pt idx="9">
                  <c:v>1.0205553732337218</c:v>
                </c:pt>
                <c:pt idx="10">
                  <c:v>1.0226666389425558</c:v>
                </c:pt>
                <c:pt idx="11">
                  <c:v>1.0246194312103785</c:v>
                </c:pt>
                <c:pt idx="12">
                  <c:v>1.0264229277279902</c:v>
                </c:pt>
                <c:pt idx="13">
                  <c:v>1.0280876981248266</c:v>
                </c:pt>
                <c:pt idx="14">
                  <c:v>1.0296246094823478</c:v>
                </c:pt>
                <c:pt idx="15">
                  <c:v>1.031044223438917</c:v>
                </c:pt>
                <c:pt idx="16">
                  <c:v>1.0323564901505824</c:v>
                </c:pt>
                <c:pt idx="17">
                  <c:v>1.0335706167382535</c:v>
                </c:pt>
                <c:pt idx="18">
                  <c:v>1.034695034741753</c:v>
                </c:pt>
                <c:pt idx="19">
                  <c:v>1.0357374209431025</c:v>
                </c:pt>
                <c:pt idx="20">
                  <c:v>1.036704744585274</c:v>
                </c:pt>
                <c:pt idx="21">
                  <c:v>1.0376033254845198</c:v>
                </c:pt>
                <c:pt idx="22">
                  <c:v>1.0384388944592766</c:v>
                </c:pt>
                <c:pt idx="23">
                  <c:v>1.0392166515960346</c:v>
                </c:pt>
                <c:pt idx="24">
                  <c:v>1.0399413202400041</c:v>
                </c:pt>
                <c:pt idx="25">
                  <c:v>1.0406171959248096</c:v>
                </c:pt>
                <c:pt idx="26">
                  <c:v>1.0412481901665722</c:v>
                </c:pt>
                <c:pt idx="27">
                  <c:v>1.0418378694027737</c:v>
                </c:pt>
                <c:pt idx="28">
                  <c:v>1.0423894895105941</c:v>
                </c:pt>
                <c:pt idx="29">
                  <c:v>1.0429060263845917</c:v>
                </c:pt>
                <c:pt idx="30">
                  <c:v>1.0433902030426494</c:v>
                </c:pt>
                <c:pt idx="31">
                  <c:v>1.0438445136920087</c:v>
                </c:pt>
                <c:pt idx="32">
                  <c:v>1.0442712451403635</c:v>
                </c:pt>
                <c:pt idx="33">
                  <c:v>1.0446724958889608</c:v>
                </c:pt>
                <c:pt idx="34">
                  <c:v>1.0450501931996272</c:v>
                </c:pt>
                <c:pt idx="35">
                  <c:v>1.0454061083873187</c:v>
                </c:pt>
                <c:pt idx="36">
                  <c:v>1.0457418705546122</c:v>
                </c:pt>
                <c:pt idx="37">
                  <c:v>1.0460589789543242</c:v>
                </c:pt>
                <c:pt idx="38">
                  <c:v>1.0463588141406694</c:v>
                </c:pt>
                <c:pt idx="39">
                  <c:v>1.0466426480474864</c:v>
                </c:pt>
                <c:pt idx="40">
                  <c:v>1.0469116531135014</c:v>
                </c:pt>
                <c:pt idx="41">
                  <c:v>1.0471669105588597</c:v>
                </c:pt>
                <c:pt idx="42">
                  <c:v>1.0474094179037634</c:v>
                </c:pt>
                <c:pt idx="43">
                  <c:v>1.0476400958086594</c:v>
                </c:pt>
                <c:pt idx="44">
                  <c:v>1.0478597943056642</c:v>
                </c:pt>
                <c:pt idx="45">
                  <c:v>1.0480692984825615</c:v>
                </c:pt>
                <c:pt idx="46">
                  <c:v>1.0482693336735096</c:v>
                </c:pt>
                <c:pt idx="47">
                  <c:v>1.0484605702043914</c:v>
                </c:pt>
                <c:pt idx="48">
                  <c:v>1.0486436277353544</c:v>
                </c:pt>
                <c:pt idx="49">
                  <c:v>1.0488190792384147</c:v>
                </c:pt>
                <c:pt idx="50">
                  <c:v>1.0489874546439197</c:v>
                </c:pt>
                <c:pt idx="51">
                  <c:v>1.0491492441860926</c:v>
                </c:pt>
                <c:pt idx="52">
                  <c:v>1.0493049014747542</c:v>
                </c:pt>
                <c:pt idx="53">
                  <c:v>1.0494548463175608</c:v>
                </c:pt>
                <c:pt idx="54">
                  <c:v>1.0495994673146605</c:v>
                </c:pt>
                <c:pt idx="55">
                  <c:v>1.0497391242455234</c:v>
                </c:pt>
                <c:pt idx="56">
                  <c:v>1.0498741502657876</c:v>
                </c:pt>
                <c:pt idx="57">
                  <c:v>1.0500048539302658</c:v>
                </c:pt>
                <c:pt idx="58">
                  <c:v>1.0501315210567441</c:v>
                </c:pt>
                <c:pt idx="59">
                  <c:v>1.0502544164438508</c:v>
                </c:pt>
                <c:pt idx="60">
                  <c:v>1.0503737854550592</c:v>
                </c:pt>
                <c:pt idx="61">
                  <c:v>1.0504898554798117</c:v>
                </c:pt>
                <c:pt idx="62">
                  <c:v>1.0506028372817611</c:v>
                </c:pt>
                <c:pt idx="63">
                  <c:v>1.0507129262432604</c:v>
                </c:pt>
                <c:pt idx="64">
                  <c:v>1.0508203035144283</c:v>
                </c:pt>
                <c:pt idx="65">
                  <c:v>1.0509251370744077</c:v>
                </c:pt>
                <c:pt idx="66">
                  <c:v>1.0510275827117821</c:v>
                </c:pt>
                <c:pt idx="67">
                  <c:v>1.0511277849305289</c:v>
                </c:pt>
                <c:pt idx="68">
                  <c:v>1.0512258777873551</c:v>
                </c:pt>
                <c:pt idx="69">
                  <c:v>1.0513219856657747</c:v>
                </c:pt>
                <c:pt idx="70">
                  <c:v>1.0514162239918499</c:v>
                </c:pt>
                <c:pt idx="71">
                  <c:v>1.0515086998961107</c:v>
                </c:pt>
                <c:pt idx="72">
                  <c:v>1.051599512825808</c:v>
                </c:pt>
                <c:pt idx="73">
                  <c:v>1.0516887551113143</c:v>
                </c:pt>
                <c:pt idx="74">
                  <c:v>1.0517765124901868</c:v>
                </c:pt>
                <c:pt idx="75">
                  <c:v>1.051862864592122</c:v>
                </c:pt>
                <c:pt idx="76">
                  <c:v>1.0519478853877828</c:v>
                </c:pt>
                <c:pt idx="77">
                  <c:v>1.0520316436042356</c:v>
                </c:pt>
                <c:pt idx="78">
                  <c:v>1.0521142031095281</c:v>
                </c:pt>
                <c:pt idx="79">
                  <c:v>1.0521956232687373</c:v>
                </c:pt>
                <c:pt idx="80">
                  <c:v>1.052275959273637</c:v>
                </c:pt>
                <c:pt idx="81">
                  <c:v>1.0523552624479686</c:v>
                </c:pt>
                <c:pt idx="82">
                  <c:v>1.0524335805301446</c:v>
                </c:pt>
                <c:pt idx="83">
                  <c:v>1.0525109579350755</c:v>
                </c:pt>
                <c:pt idx="84">
                  <c:v>1.0525874359966807</c:v>
                </c:pt>
                <c:pt idx="85">
                  <c:v>1.0526630531925247</c:v>
                </c:pt>
                <c:pt idx="86">
                  <c:v>1.0527378453519107</c:v>
                </c:pt>
                <c:pt idx="87">
                  <c:v>1.0528118458486615</c:v>
                </c:pt>
                <c:pt idx="88">
                  <c:v>1.0528850857797274</c:v>
                </c:pt>
                <c:pt idx="89">
                  <c:v>1.052957594130671</c:v>
                </c:pt>
                <c:pt idx="90">
                  <c:v>1.0530293979290026</c:v>
                </c:pt>
                <c:pt idx="91">
                  <c:v>1.0531005223862653</c:v>
                </c:pt>
                <c:pt idx="92">
                  <c:v>1.0531709910297011</c:v>
                </c:pt>
                <c:pt idx="93">
                  <c:v>1.0532408258242707</c:v>
                </c:pt>
                <c:pt idx="94">
                  <c:v>1.0533100472857346</c:v>
                </c:pt>
                <c:pt idx="95">
                  <c:v>1.0533786745854583</c:v>
                </c:pt>
                <c:pt idx="96">
                  <c:v>1.0534467256475497</c:v>
                </c:pt>
                <c:pt idx="97">
                  <c:v>1.0535142172388947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6A1-4B21-ADC5-3DA4D95F4474}"/>
            </c:ext>
          </c:extLst>
        </c:ser>
        <c:ser>
          <c:idx val="1"/>
          <c:order val="2"/>
          <c:tx>
            <c:v>мощность с обратной связью</c:v>
          </c:tx>
          <c:marker>
            <c:symbol val="none"/>
          </c:marker>
          <c:xVal>
            <c:numRef>
              <c:f>Лист1!$A$23:$A$121</c:f>
              <c:numCache>
                <c:formatCode>General</c:formatCode>
                <c:ptCount val="99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0.30000000000000004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0.79999999999999993</c:v>
                </c:pt>
                <c:pt idx="9">
                  <c:v>0.89999999999999991</c:v>
                </c:pt>
                <c:pt idx="10">
                  <c:v>0.99999999999999989</c:v>
                </c:pt>
                <c:pt idx="11">
                  <c:v>1.0999999999999999</c:v>
                </c:pt>
                <c:pt idx="12">
                  <c:v>1.2</c:v>
                </c:pt>
                <c:pt idx="13">
                  <c:v>1.3</c:v>
                </c:pt>
                <c:pt idx="14">
                  <c:v>1.4000000000000001</c:v>
                </c:pt>
                <c:pt idx="15">
                  <c:v>1.5000000000000002</c:v>
                </c:pt>
                <c:pt idx="16">
                  <c:v>1.6000000000000003</c:v>
                </c:pt>
                <c:pt idx="17">
                  <c:v>1.7000000000000004</c:v>
                </c:pt>
                <c:pt idx="18">
                  <c:v>1.8000000000000005</c:v>
                </c:pt>
                <c:pt idx="19">
                  <c:v>1.9000000000000006</c:v>
                </c:pt>
                <c:pt idx="20">
                  <c:v>2.0000000000000004</c:v>
                </c:pt>
                <c:pt idx="21">
                  <c:v>2.1000000000000005</c:v>
                </c:pt>
                <c:pt idx="22">
                  <c:v>2.2000000000000006</c:v>
                </c:pt>
                <c:pt idx="23">
                  <c:v>2.3000000000000007</c:v>
                </c:pt>
                <c:pt idx="24">
                  <c:v>2.4000000000000008</c:v>
                </c:pt>
                <c:pt idx="25">
                  <c:v>2.5000000000000009</c:v>
                </c:pt>
                <c:pt idx="26">
                  <c:v>2.600000000000001</c:v>
                </c:pt>
                <c:pt idx="27">
                  <c:v>2.7000000000000011</c:v>
                </c:pt>
                <c:pt idx="28">
                  <c:v>2.8000000000000012</c:v>
                </c:pt>
                <c:pt idx="29">
                  <c:v>2.9000000000000012</c:v>
                </c:pt>
                <c:pt idx="30">
                  <c:v>3.0000000000000013</c:v>
                </c:pt>
                <c:pt idx="31">
                  <c:v>3.1000000000000014</c:v>
                </c:pt>
                <c:pt idx="32">
                  <c:v>3.2000000000000015</c:v>
                </c:pt>
                <c:pt idx="33">
                  <c:v>3.3000000000000016</c:v>
                </c:pt>
                <c:pt idx="34">
                  <c:v>3.4000000000000017</c:v>
                </c:pt>
                <c:pt idx="35">
                  <c:v>3.5000000000000018</c:v>
                </c:pt>
                <c:pt idx="36">
                  <c:v>3.6000000000000019</c:v>
                </c:pt>
                <c:pt idx="37">
                  <c:v>3.700000000000002</c:v>
                </c:pt>
                <c:pt idx="38">
                  <c:v>3.800000000000002</c:v>
                </c:pt>
                <c:pt idx="39">
                  <c:v>3.9000000000000021</c:v>
                </c:pt>
                <c:pt idx="40">
                  <c:v>4.0000000000000018</c:v>
                </c:pt>
                <c:pt idx="41">
                  <c:v>4.1000000000000014</c:v>
                </c:pt>
                <c:pt idx="42">
                  <c:v>4.2000000000000011</c:v>
                </c:pt>
                <c:pt idx="43">
                  <c:v>4.3000000000000007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4.6999999999999993</c:v>
                </c:pt>
                <c:pt idx="48">
                  <c:v>4.7999999999999989</c:v>
                </c:pt>
                <c:pt idx="49">
                  <c:v>4.8999999999999986</c:v>
                </c:pt>
                <c:pt idx="50">
                  <c:v>4.9999999999999982</c:v>
                </c:pt>
                <c:pt idx="51">
                  <c:v>5.0999999999999979</c:v>
                </c:pt>
                <c:pt idx="52">
                  <c:v>5.1999999999999975</c:v>
                </c:pt>
                <c:pt idx="53">
                  <c:v>5.2999999999999972</c:v>
                </c:pt>
                <c:pt idx="54">
                  <c:v>5.3999999999999968</c:v>
                </c:pt>
                <c:pt idx="55">
                  <c:v>5.4999999999999964</c:v>
                </c:pt>
                <c:pt idx="56">
                  <c:v>5.5999999999999961</c:v>
                </c:pt>
                <c:pt idx="57">
                  <c:v>5.6999999999999957</c:v>
                </c:pt>
                <c:pt idx="58">
                  <c:v>5.7999999999999954</c:v>
                </c:pt>
                <c:pt idx="59">
                  <c:v>5.899999999999995</c:v>
                </c:pt>
                <c:pt idx="60">
                  <c:v>5.9999999999999947</c:v>
                </c:pt>
                <c:pt idx="61">
                  <c:v>6.0999999999999943</c:v>
                </c:pt>
                <c:pt idx="62">
                  <c:v>6.199999999999994</c:v>
                </c:pt>
                <c:pt idx="63">
                  <c:v>6.2999999999999936</c:v>
                </c:pt>
                <c:pt idx="64">
                  <c:v>6.3999999999999932</c:v>
                </c:pt>
                <c:pt idx="65">
                  <c:v>6.4999999999999929</c:v>
                </c:pt>
                <c:pt idx="66">
                  <c:v>6.5999999999999925</c:v>
                </c:pt>
                <c:pt idx="67">
                  <c:v>6.6999999999999922</c:v>
                </c:pt>
                <c:pt idx="68">
                  <c:v>6.7999999999999918</c:v>
                </c:pt>
                <c:pt idx="69">
                  <c:v>6.8999999999999915</c:v>
                </c:pt>
                <c:pt idx="70">
                  <c:v>6.9999999999999911</c:v>
                </c:pt>
                <c:pt idx="71">
                  <c:v>7.0999999999999908</c:v>
                </c:pt>
                <c:pt idx="72">
                  <c:v>7.1999999999999904</c:v>
                </c:pt>
                <c:pt idx="73">
                  <c:v>7.2999999999999901</c:v>
                </c:pt>
                <c:pt idx="74">
                  <c:v>7.3999999999999897</c:v>
                </c:pt>
                <c:pt idx="75">
                  <c:v>7.4999999999999893</c:v>
                </c:pt>
                <c:pt idx="76">
                  <c:v>7.599999999999989</c:v>
                </c:pt>
                <c:pt idx="77">
                  <c:v>7.6999999999999886</c:v>
                </c:pt>
                <c:pt idx="78">
                  <c:v>7.7999999999999883</c:v>
                </c:pt>
                <c:pt idx="79">
                  <c:v>7.8999999999999879</c:v>
                </c:pt>
                <c:pt idx="80">
                  <c:v>7.9999999999999876</c:v>
                </c:pt>
                <c:pt idx="81">
                  <c:v>8.0999999999999872</c:v>
                </c:pt>
                <c:pt idx="82">
                  <c:v>8.1999999999999869</c:v>
                </c:pt>
                <c:pt idx="83">
                  <c:v>8.2999999999999865</c:v>
                </c:pt>
                <c:pt idx="84">
                  <c:v>8.3999999999999861</c:v>
                </c:pt>
                <c:pt idx="85">
                  <c:v>8.4999999999999858</c:v>
                </c:pt>
                <c:pt idx="86">
                  <c:v>8.5999999999999854</c:v>
                </c:pt>
                <c:pt idx="87">
                  <c:v>8.6999999999999851</c:v>
                </c:pt>
                <c:pt idx="88">
                  <c:v>8.7999999999999847</c:v>
                </c:pt>
                <c:pt idx="89">
                  <c:v>8.8999999999999844</c:v>
                </c:pt>
                <c:pt idx="90">
                  <c:v>8.999999999999984</c:v>
                </c:pt>
                <c:pt idx="91">
                  <c:v>9.0999999999999837</c:v>
                </c:pt>
                <c:pt idx="92">
                  <c:v>9.1999999999999833</c:v>
                </c:pt>
                <c:pt idx="93">
                  <c:v>9.2999999999999829</c:v>
                </c:pt>
                <c:pt idx="94">
                  <c:v>9.3999999999999826</c:v>
                </c:pt>
                <c:pt idx="95">
                  <c:v>9.4999999999999822</c:v>
                </c:pt>
                <c:pt idx="96">
                  <c:v>9.5999999999999819</c:v>
                </c:pt>
                <c:pt idx="97">
                  <c:v>9.6999999999999815</c:v>
                </c:pt>
                <c:pt idx="98">
                  <c:v>9.7999999999999812</c:v>
                </c:pt>
              </c:numCache>
            </c:numRef>
          </c:xVal>
          <c:yVal>
            <c:numRef>
              <c:f>Лист1!$C$23:$C$121</c:f>
              <c:numCache>
                <c:formatCode>General</c:formatCode>
                <c:ptCount val="99"/>
                <c:pt idx="0">
                  <c:v>1</c:v>
                </c:pt>
                <c:pt idx="1">
                  <c:v>1.1009186067619994</c:v>
                </c:pt>
                <c:pt idx="2">
                  <c:v>1.1587869889230971</c:v>
                </c:pt>
                <c:pt idx="3">
                  <c:v>1.1896363959670777</c:v>
                </c:pt>
                <c:pt idx="4">
                  <c:v>1.2037069306296115</c:v>
                </c:pt>
                <c:pt idx="5">
                  <c:v>1.207592038762203</c:v>
                </c:pt>
                <c:pt idx="6">
                  <c:v>1.2055183915532361</c:v>
                </c:pt>
                <c:pt idx="7">
                  <c:v>1.200160597243684</c:v>
                </c:pt>
                <c:pt idx="8">
                  <c:v>1.1931782222543668</c:v>
                </c:pt>
                <c:pt idx="9">
                  <c:v>1.1855740191067297</c:v>
                </c:pt>
                <c:pt idx="10">
                  <c:v>1.1779322504228433</c:v>
                </c:pt>
                <c:pt idx="11" formatCode="0%">
                  <c:v>1.1705755395795723</c:v>
                </c:pt>
                <c:pt idx="12">
                  <c:v>1.1636665673895985</c:v>
                </c:pt>
                <c:pt idx="13">
                  <c:v>1.1572728902408851</c:v>
                </c:pt>
                <c:pt idx="14">
                  <c:v>1.1514074934361198</c:v>
                </c:pt>
                <c:pt idx="15">
                  <c:v>1.1460536548204905</c:v>
                </c:pt>
                <c:pt idx="16">
                  <c:v>1.1411798419353079</c:v>
                </c:pt>
                <c:pt idx="17">
                  <c:v>1.1367483910153564</c:v>
                </c:pt>
                <c:pt idx="18">
                  <c:v>1.1327203780775519</c:v>
                </c:pt>
                <c:pt idx="19">
                  <c:v>1.129058204880359</c:v>
                </c:pt>
                <c:pt idx="20">
                  <c:v>1.1257268454732801</c:v>
                </c:pt>
                <c:pt idx="21">
                  <c:v>1.1226943306142074</c:v>
                </c:pt>
                <c:pt idx="22">
                  <c:v>1.1199318160473559</c:v>
                </c:pt>
                <c:pt idx="23">
                  <c:v>1.1174134377793592</c:v>
                </c:pt>
                <c:pt idx="24">
                  <c:v>1.1151160706602765</c:v>
                </c:pt>
                <c:pt idx="25">
                  <c:v>1.1130190546741145</c:v>
                </c:pt>
                <c:pt idx="26">
                  <c:v>1.111103922889854</c:v>
                </c:pt>
                <c:pt idx="27">
                  <c:v>1.1093541475458581</c:v>
                </c:pt>
                <c:pt idx="28">
                  <c:v>1.1077549109916696</c:v>
                </c:pt>
                <c:pt idx="29">
                  <c:v>1.1062929029889783</c:v>
                </c:pt>
                <c:pt idx="30">
                  <c:v>1.1049561432499737</c:v>
                </c:pt>
                <c:pt idx="31">
                  <c:v>1.1037338269223518</c:v>
                </c:pt>
                <c:pt idx="32">
                  <c:v>1.1026161903476253</c:v>
                </c:pt>
                <c:pt idx="33">
                  <c:v>1.1015943944398285</c:v>
                </c:pt>
                <c:pt idx="34">
                  <c:v>1.1006604232403958</c:v>
                </c:pt>
                <c:pt idx="35">
                  <c:v>1.0998069954851875</c:v>
                </c:pt>
                <c:pt idx="36">
                  <c:v>1.0990274873108012</c:v>
                </c:pt>
                <c:pt idx="37">
                  <c:v>1.0983158645003297</c:v>
                </c:pt>
                <c:pt idx="38">
                  <c:v>1.0976666229116894</c:v>
                </c:pt>
                <c:pt idx="39">
                  <c:v>1.0970747359415596</c:v>
                </c:pt>
                <c:pt idx="40">
                  <c:v>1.0965356080562572</c:v>
                </c:pt>
                <c:pt idx="41">
                  <c:v>1.0960450335707912</c:v>
                </c:pt>
                <c:pt idx="42">
                  <c:v>1.0955991599827659</c:v>
                </c:pt>
                <c:pt idx="43">
                  <c:v>1.0951944552725081</c:v>
                </c:pt>
                <c:pt idx="44">
                  <c:v>1.0948276786681723</c:v>
                </c:pt>
                <c:pt idx="45">
                  <c:v>1.0944958544476098</c:v>
                </c:pt>
                <c:pt idx="46">
                  <c:v>1.0941962484099328</c:v>
                </c:pt>
                <c:pt idx="47">
                  <c:v>1.093926346701058</c:v>
                </c:pt>
                <c:pt idx="48">
                  <c:v>1.0936838367207469</c:v>
                </c:pt>
                <c:pt idx="49">
                  <c:v>1.0934665898752081</c:v>
                </c:pt>
                <c:pt idx="50">
                  <c:v>1.0932726459702937</c:v>
                </c:pt>
                <c:pt idx="51">
                  <c:v>1.0931001990666764</c:v>
                </c:pt>
                <c:pt idx="52">
                  <c:v>1.092947584640878</c:v>
                </c:pt>
                <c:pt idx="53">
                  <c:v>1.0928132679152778</c:v>
                </c:pt>
                <c:pt idx="54">
                  <c:v>1.0926958332367667</c:v>
                </c:pt>
                <c:pt idx="55">
                  <c:v>1.0925939743979791</c:v>
                </c:pt>
                <c:pt idx="56">
                  <c:v>1.0925064858073446</c:v>
                </c:pt>
                <c:pt idx="57">
                  <c:v>1.0924322544248968</c:v>
                </c:pt>
                <c:pt idx="58">
                  <c:v>1.0923702523900569</c:v>
                </c:pt>
                <c:pt idx="59">
                  <c:v>1.0923195302757176</c:v>
                </c:pt>
                <c:pt idx="60">
                  <c:v>1.0922792109100266</c:v>
                </c:pt>
                <c:pt idx="61">
                  <c:v>1.0922484837134896</c:v>
                </c:pt>
                <c:pt idx="62">
                  <c:v>1.0922265995044522</c:v>
                </c:pt>
                <c:pt idx="63">
                  <c:v>1.0922128657308425</c:v>
                </c:pt>
                <c:pt idx="64">
                  <c:v>1.0922066420902936</c:v>
                </c:pt>
                <c:pt idx="65">
                  <c:v>1.0922073365045231</c:v>
                </c:pt>
                <c:pt idx="66">
                  <c:v>1.092214401417184</c:v>
                </c:pt>
                <c:pt idx="67">
                  <c:v>1.0922273303873629</c:v>
                </c:pt>
                <c:pt idx="68">
                  <c:v>1.0922456549535435</c:v>
                </c:pt>
                <c:pt idx="69">
                  <c:v>1.0922689417452132</c:v>
                </c:pt>
                <c:pt idx="70">
                  <c:v>1.0922967898213922</c:v>
                </c:pt>
                <c:pt idx="71">
                  <c:v>1.0923288282172652</c:v>
                </c:pt>
                <c:pt idx="72">
                  <c:v>1.092364713681784</c:v>
                </c:pt>
                <c:pt idx="73">
                  <c:v>1.0924041285906387</c:v>
                </c:pt>
                <c:pt idx="74">
                  <c:v>1.0924467790203707</c:v>
                </c:pt>
                <c:pt idx="75">
                  <c:v>1.0924923929706387</c:v>
                </c:pt>
                <c:pt idx="76">
                  <c:v>1.0925407187227707</c:v>
                </c:pt>
                <c:pt idx="77">
                  <c:v>1.0925915233237484</c:v>
                </c:pt>
                <c:pt idx="78">
                  <c:v>1.0926445911856935</c:v>
                </c:pt>
                <c:pt idx="79">
                  <c:v>1.0926997227917492</c:v>
                </c:pt>
                <c:pt idx="80">
                  <c:v>1.0927567335000234</c:v>
                </c:pt>
                <c:pt idx="81">
                  <c:v>1.0928154524379319</c:v>
                </c:pt>
                <c:pt idx="82">
                  <c:v>1.0928757214799183</c:v>
                </c:pt>
                <c:pt idx="83">
                  <c:v>1.0929373943021008</c:v>
                </c:pt>
                <c:pt idx="84">
                  <c:v>1.0930003355079061</c:v>
                </c:pt>
                <c:pt idx="85">
                  <c:v>1.0930644198192436</c:v>
                </c:pt>
                <c:pt idx="86">
                  <c:v>1.0931295313281928</c:v>
                </c:pt>
                <c:pt idx="87">
                  <c:v>1.0931955628045871</c:v>
                </c:pt>
                <c:pt idx="88">
                  <c:v>1.0932624150552404</c:v>
                </c:pt>
                <c:pt idx="89">
                  <c:v>1.0933299963308896</c:v>
                </c:pt>
                <c:pt idx="90">
                  <c:v>1.0933982217772447</c:v>
                </c:pt>
                <c:pt idx="91">
                  <c:v>1.0934670129268129</c:v>
                </c:pt>
                <c:pt idx="92">
                  <c:v>1.0935362972284195</c:v>
                </c:pt>
                <c:pt idx="93">
                  <c:v>1.0936060076115963</c:v>
                </c:pt>
                <c:pt idx="94">
                  <c:v>1.0936760820832125</c:v>
                </c:pt>
                <c:pt idx="95">
                  <c:v>1.0937464633539378</c:v>
                </c:pt>
                <c:pt idx="96">
                  <c:v>1.0938170984923024</c:v>
                </c:pt>
                <c:pt idx="97">
                  <c:v>1.0938879386042948</c:v>
                </c:pt>
                <c:pt idx="98">
                  <c:v>1.0939589385365898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6A1-4B21-ADC5-3DA4D95F44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6268864"/>
        <c:axId val="166269440"/>
      </c:scatterChart>
      <c:valAx>
        <c:axId val="1662688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66269440"/>
        <c:crosses val="autoZero"/>
        <c:crossBetween val="midCat"/>
      </c:valAx>
      <c:valAx>
        <c:axId val="16626944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66268864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314325</xdr:colOff>
      <xdr:row>570</xdr:row>
      <xdr:rowOff>54769</xdr:rowOff>
    </xdr:from>
    <xdr:to>
      <xdr:col>9</xdr:col>
      <xdr:colOff>9525</xdr:colOff>
      <xdr:row>584</xdr:row>
      <xdr:rowOff>130969</xdr:rowOff>
    </xdr:to>
    <xdr:graphicFrame macro="">
      <xdr:nvGraphicFramePr>
        <xdr:cNvPr id="2" name="Диаграмма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419100</xdr:colOff>
      <xdr:row>125</xdr:row>
      <xdr:rowOff>170974</xdr:rowOff>
    </xdr:from>
    <xdr:to>
      <xdr:col>8</xdr:col>
      <xdr:colOff>838200</xdr:colOff>
      <xdr:row>140</xdr:row>
      <xdr:rowOff>163354</xdr:rowOff>
    </xdr:to>
    <xdr:graphicFrame macro="">
      <xdr:nvGraphicFramePr>
        <xdr:cNvPr id="3" name="Диаграмма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217170</xdr:colOff>
      <xdr:row>9</xdr:row>
      <xdr:rowOff>64770</xdr:rowOff>
    </xdr:from>
    <xdr:to>
      <xdr:col>11</xdr:col>
      <xdr:colOff>689610</xdr:colOff>
      <xdr:row>19</xdr:row>
      <xdr:rowOff>156210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/>
            <xdr:cNvSpPr txBox="1"/>
          </xdr:nvSpPr>
          <xdr:spPr>
            <a:xfrm>
              <a:off x="4545330" y="1725930"/>
              <a:ext cx="3947160" cy="1920240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ru-RU" sz="110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Система</a:t>
              </a:r>
              <a:r>
                <a:rPr lang="ru-RU" sz="1100" i="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для расчетов :</a:t>
              </a:r>
              <a:endParaRPr lang="en-US" sz="1100" i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endParaRPr lang="en-US" sz="1100" i="1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d>
                      <m:dPr>
                        <m:begChr m:val="{"/>
                        <m:endChr m:val=""/>
                        <m:ctrlPr>
                          <a:rPr lang="ru-RU" sz="110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dPr>
                      <m:e>
                        <m:eqArr>
                          <m:eqArrPr>
                            <m:ctrlPr>
                              <a:rPr lang="ru-RU" sz="110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eqArrPr>
                          <m:e>
                            <m:f>
                              <m:fPr>
                                <m:ctrlPr>
                                  <a:rPr lang="ru-RU" sz="1100" i="1">
                                    <a:solidFill>
                                      <a:schemeClr val="dk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fPr>
                              <m:num>
                                <m:r>
                                  <a:rPr lang="ru-RU" sz="1100" i="1">
                                    <a:solidFill>
                                      <a:schemeClr val="dk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ⅆ</m:t>
                                </m:r>
                                <m:r>
                                  <a:rPr lang="ru-RU" sz="1100" i="1">
                                    <a:solidFill>
                                      <a:schemeClr val="dk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𝑁</m:t>
                                </m:r>
                              </m:num>
                              <m:den>
                                <m:r>
                                  <a:rPr lang="ru-RU" sz="1100" i="1">
                                    <a:solidFill>
                                      <a:schemeClr val="dk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ⅆ</m:t>
                                </m:r>
                                <m:r>
                                  <a:rPr lang="ru-RU" sz="1100" i="1">
                                    <a:solidFill>
                                      <a:schemeClr val="dk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𝑡</m:t>
                                </m:r>
                              </m:den>
                            </m:f>
                            <m:r>
                              <a:rPr lang="ru-RU" sz="110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=1000</m:t>
                            </m:r>
                            <m:d>
                              <m:dPr>
                                <m:begChr m:val="["/>
                                <m:endChr m:val="]"/>
                                <m:ctrlPr>
                                  <a:rPr lang="ru-RU" sz="1100" i="1">
                                    <a:solidFill>
                                      <a:schemeClr val="dk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dPr>
                              <m:e>
                                <m:r>
                                  <a:rPr lang="ru-RU" sz="1100">
                                    <a:solidFill>
                                      <a:schemeClr val="dk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0,0065</m:t>
                                </m:r>
                                <m:d>
                                  <m:dPr>
                                    <m:ctrlPr>
                                      <a:rPr lang="ru-RU" sz="1100" i="1">
                                        <a:solidFill>
                                          <a:schemeClr val="dk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dPr>
                                  <m:e>
                                    <m:r>
                                      <a:rPr lang="ru-RU" sz="1100" i="1">
                                        <a:solidFill>
                                          <a:schemeClr val="dk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𝑟</m:t>
                                    </m:r>
                                    <m:r>
                                      <a:rPr lang="ru-RU" sz="1100" i="1">
                                        <a:solidFill>
                                          <a:schemeClr val="dk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−1</m:t>
                                    </m:r>
                                  </m:e>
                                </m:d>
                                <m:r>
                                  <a:rPr lang="ru-RU" sz="1100" i="1">
                                    <a:solidFill>
                                      <a:schemeClr val="dk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−</m:t>
                                </m:r>
                                <m:r>
                                  <a:rPr lang="ru-RU" sz="1100" i="1">
                                    <a:solidFill>
                                      <a:schemeClr val="dk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𝑆</m:t>
                                </m:r>
                                <m:r>
                                  <a:rPr lang="ru-RU" sz="1100" i="1">
                                    <a:solidFill>
                                      <a:schemeClr val="dk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∗</m:t>
                                </m:r>
                                <m:r>
                                  <a:rPr lang="ru-RU" sz="1100">
                                    <a:solidFill>
                                      <a:schemeClr val="dk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0,02</m:t>
                                </m:r>
                                <m:d>
                                  <m:dPr>
                                    <m:ctrlPr>
                                      <a:rPr lang="ru-RU" sz="1100" i="1">
                                        <a:solidFill>
                                          <a:schemeClr val="dk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dPr>
                                  <m:e>
                                    <m:acc>
                                      <m:accPr>
                                        <m:chr m:val="̃"/>
                                        <m:ctrlPr>
                                          <a:rPr lang="ru-RU" sz="1100" i="1">
                                            <a:solidFill>
                                              <a:schemeClr val="dk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</m:ctrlPr>
                                      </m:accPr>
                                      <m:e>
                                        <m:r>
                                          <a:rPr lang="ru-RU" sz="1100" i="1">
                                            <a:solidFill>
                                              <a:schemeClr val="dk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𝑇</m:t>
                                        </m:r>
                                      </m:e>
                                    </m:acc>
                                    <m:r>
                                      <a:rPr lang="ru-RU" sz="1100" i="1">
                                        <a:solidFill>
                                          <a:schemeClr val="dk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−1</m:t>
                                    </m:r>
                                  </m:e>
                                </m:d>
                              </m:e>
                            </m:d>
                            <m:r>
                              <a:rPr lang="ru-RU" sz="110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𝑁</m:t>
                            </m:r>
                            <m:r>
                              <a:rPr lang="ru-RU" sz="110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r>
                              <a:rPr lang="ru-RU" sz="1100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6,5</m:t>
                            </m:r>
                            <m:acc>
                              <m:accPr>
                                <m:chr m:val="̃"/>
                                <m:ctrlPr>
                                  <a:rPr lang="ru-RU" sz="1100" i="1">
                                    <a:solidFill>
                                      <a:schemeClr val="dk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accPr>
                              <m:e>
                                <m:r>
                                  <a:rPr lang="ru-RU" sz="1100" i="1">
                                    <a:solidFill>
                                      <a:schemeClr val="dk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𝐶</m:t>
                                </m:r>
                              </m:e>
                            </m:acc>
                          </m:e>
                          <m:e>
                            <m:f>
                              <m:fPr>
                                <m:ctrlPr>
                                  <a:rPr lang="ru-RU" sz="1100" i="1">
                                    <a:solidFill>
                                      <a:schemeClr val="dk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fPr>
                              <m:num>
                                <m:r>
                                  <a:rPr lang="ru-RU" sz="1100" i="1">
                                    <a:solidFill>
                                      <a:schemeClr val="dk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ⅆ</m:t>
                                </m:r>
                                <m:acc>
                                  <m:accPr>
                                    <m:chr m:val="̃"/>
                                    <m:ctrlPr>
                                      <a:rPr lang="ru-RU" sz="1100" i="1">
                                        <a:solidFill>
                                          <a:schemeClr val="dk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accPr>
                                  <m:e>
                                    <m:r>
                                      <a:rPr lang="ru-RU" sz="1100" i="1">
                                        <a:solidFill>
                                          <a:schemeClr val="dk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𝐶</m:t>
                                    </m:r>
                                  </m:e>
                                </m:acc>
                              </m:num>
                              <m:den>
                                <m:r>
                                  <a:rPr lang="ru-RU" sz="1100" i="1">
                                    <a:solidFill>
                                      <a:schemeClr val="dk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ⅆ</m:t>
                                </m:r>
                                <m:r>
                                  <a:rPr lang="ru-RU" sz="1100" i="1">
                                    <a:solidFill>
                                      <a:schemeClr val="dk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𝑡</m:t>
                                </m:r>
                              </m:den>
                            </m:f>
                            <m:r>
                              <a:rPr lang="ru-RU" sz="110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=</m:t>
                            </m:r>
                            <m:r>
                              <a:rPr lang="ru-RU" sz="1100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0,07</m:t>
                            </m:r>
                            <m:d>
                              <m:dPr>
                                <m:ctrlPr>
                                  <a:rPr lang="ru-RU" sz="1100" i="1">
                                    <a:solidFill>
                                      <a:schemeClr val="dk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dPr>
                              <m:e>
                                <m:r>
                                  <a:rPr lang="ru-RU" sz="1100" i="1">
                                    <a:solidFill>
                                      <a:schemeClr val="dk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𝑁</m:t>
                                </m:r>
                                <m:r>
                                  <a:rPr lang="ru-RU" sz="1100" i="1">
                                    <a:solidFill>
                                      <a:schemeClr val="dk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−</m:t>
                                </m:r>
                                <m:acc>
                                  <m:accPr>
                                    <m:chr m:val="̃"/>
                                    <m:ctrlPr>
                                      <a:rPr lang="ru-RU" sz="1100" i="1">
                                        <a:solidFill>
                                          <a:schemeClr val="dk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accPr>
                                  <m:e>
                                    <m:r>
                                      <a:rPr lang="ru-RU" sz="1100" i="1">
                                        <a:solidFill>
                                          <a:schemeClr val="dk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𝐶</m:t>
                                    </m:r>
                                    <m:r>
                                      <a:rPr lang="ru-RU" sz="1100" i="1">
                                        <a:solidFill>
                                          <a:schemeClr val="dk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 </m:t>
                                    </m:r>
                                  </m:e>
                                </m:acc>
                              </m:e>
                            </m:d>
                          </m:e>
                          <m:e>
                            <m:f>
                              <m:fPr>
                                <m:ctrlPr>
                                  <a:rPr lang="ru-RU" sz="1100" i="1">
                                    <a:solidFill>
                                      <a:schemeClr val="dk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fPr>
                              <m:num>
                                <m:r>
                                  <a:rPr lang="ru-RU" sz="1100" i="1">
                                    <a:solidFill>
                                      <a:schemeClr val="dk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ⅆ</m:t>
                                </m:r>
                                <m:acc>
                                  <m:accPr>
                                    <m:chr m:val="̃"/>
                                    <m:ctrlPr>
                                      <a:rPr lang="ru-RU" sz="1100" i="1">
                                        <a:solidFill>
                                          <a:schemeClr val="dk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accPr>
                                  <m:e>
                                    <m:r>
                                      <a:rPr lang="ru-RU" sz="1100" i="1">
                                        <a:solidFill>
                                          <a:schemeClr val="dk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𝑇</m:t>
                                    </m:r>
                                  </m:e>
                                </m:acc>
                              </m:num>
                              <m:den>
                                <m:r>
                                  <a:rPr lang="ru-RU" sz="1100" i="1">
                                    <a:solidFill>
                                      <a:schemeClr val="dk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ⅆ</m:t>
                                </m:r>
                                <m:r>
                                  <a:rPr lang="ru-RU" sz="1100" i="1">
                                    <a:solidFill>
                                      <a:schemeClr val="dk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𝑡</m:t>
                                </m:r>
                              </m:den>
                            </m:f>
                            <m:r>
                              <a:rPr lang="ru-RU" sz="110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=</m:t>
                            </m:r>
                            <m:r>
                              <a:rPr lang="ru-RU" sz="1100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0,147</m:t>
                            </m:r>
                            <m:r>
                              <a:rPr lang="ru-RU" sz="110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∗</m:t>
                            </m:r>
                            <m:r>
                              <a:rPr lang="ru-RU" sz="110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𝑁</m:t>
                            </m:r>
                            <m:r>
                              <a:rPr lang="ru-RU" sz="110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−0.236</m:t>
                            </m:r>
                            <m:d>
                              <m:dPr>
                                <m:ctrlPr>
                                  <a:rPr lang="ru-RU" sz="1100" i="1">
                                    <a:solidFill>
                                      <a:schemeClr val="dk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dPr>
                              <m:e>
                                <m:acc>
                                  <m:accPr>
                                    <m:chr m:val="̃"/>
                                    <m:ctrlPr>
                                      <a:rPr lang="ru-RU" sz="1100" i="1">
                                        <a:solidFill>
                                          <a:schemeClr val="dk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accPr>
                                  <m:e>
                                    <m:r>
                                      <a:rPr lang="ru-RU" sz="1100" i="1">
                                        <a:solidFill>
                                          <a:schemeClr val="dk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𝑇</m:t>
                                    </m:r>
                                  </m:e>
                                </m:acc>
                                <m:r>
                                  <a:rPr lang="ru-RU" sz="1100" i="1">
                                    <a:solidFill>
                                      <a:schemeClr val="dk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−0,375</m:t>
                                </m:r>
                              </m:e>
                            </m:d>
                          </m:e>
                        </m:eqArr>
                      </m:e>
                    </m:d>
                  </m:oMath>
                </m:oMathPara>
              </a14:m>
              <a:endParaRPr lang="ru-RU" sz="1100"/>
            </a:p>
            <a:p>
              <a:r>
                <a:rPr lang="en-US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N</a:t>
              </a:r>
              <a:r>
                <a:rPr lang="ru-RU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(0)=</a:t>
              </a:r>
              <a14:m>
                <m:oMath xmlns:m="http://schemas.openxmlformats.org/officeDocument/2006/math">
                  <m:acc>
                    <m:accPr>
                      <m:chr m:val="̃"/>
                      <m:ctrlPr>
                        <a:rPr lang="ru-RU" sz="1100" i="1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accPr>
                    <m:e>
                      <m:r>
                        <a:rPr lang="en-US" sz="1100" i="1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𝑇</m:t>
                      </m:r>
                    </m:e>
                  </m:acc>
                </m:oMath>
              </a14:m>
              <a:r>
                <a:rPr lang="ru-RU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(0)=</a:t>
              </a:r>
              <a14:m>
                <m:oMath xmlns:m="http://schemas.openxmlformats.org/officeDocument/2006/math">
                  <m:acc>
                    <m:accPr>
                      <m:chr m:val="̃"/>
                      <m:ctrlPr>
                        <a:rPr lang="ru-RU" sz="1100" i="1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accPr>
                    <m:e>
                      <m:r>
                        <a:rPr lang="en-US" sz="1100" i="1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𝐶</m:t>
                      </m:r>
                    </m:e>
                  </m:acc>
                  <m:d>
                    <m:dPr>
                      <m:ctrlPr>
                        <a:rPr lang="ru-RU" sz="1100" i="1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dPr>
                    <m:e>
                      <m:r>
                        <a:rPr lang="ru-RU" sz="1100" i="1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0</m:t>
                      </m:r>
                    </m:e>
                  </m:d>
                  <m:r>
                    <a:rPr lang="ru-RU" sz="1100" i="1">
                      <a:solidFill>
                        <a:schemeClr val="dk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=1</m:t>
                  </m:r>
                </m:oMath>
              </a14:m>
              <a:r>
                <a:rPr lang="ru-RU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                    </a:t>
              </a:r>
              <a14:m>
                <m:oMath xmlns:m="http://schemas.openxmlformats.org/officeDocument/2006/math">
                  <m:r>
                    <a:rPr lang="ru-RU" sz="1100" i="1">
                      <a:solidFill>
                        <a:schemeClr val="dk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−1&lt;</m:t>
                  </m:r>
                  <m:r>
                    <a:rPr lang="ru-RU" sz="1100" i="1">
                      <a:solidFill>
                        <a:schemeClr val="dk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𝑟</m:t>
                  </m:r>
                  <m:r>
                    <a:rPr lang="ru-RU" sz="1100" i="1">
                      <a:solidFill>
                        <a:schemeClr val="dk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&lt;1</m:t>
                  </m:r>
                </m:oMath>
              </a14:m>
              <a:endParaRPr lang="ru-RU" sz="1100"/>
            </a:p>
            <a:p>
              <a:r>
                <a:rPr lang="en-US" sz="1100"/>
                <a:t>r -</a:t>
              </a:r>
              <a:r>
                <a:rPr lang="ru-RU" sz="1100"/>
                <a:t> реактивность в долях бета.</a:t>
              </a:r>
              <a:r>
                <a:rPr lang="ru-RU" sz="1100" baseline="0"/>
                <a:t> </a:t>
              </a:r>
              <a:r>
                <a:rPr lang="en-US" sz="1100" baseline="0"/>
                <a:t>S- </a:t>
              </a:r>
              <a:r>
                <a:rPr lang="ru-RU" sz="1100" baseline="0"/>
                <a:t>пропорц. коэф. реактивности</a:t>
              </a:r>
              <a:endParaRPr lang="ru-RU" sz="1100"/>
            </a:p>
          </xdr:txBody>
        </xdr:sp>
      </mc:Choice>
      <mc:Fallback xmlns="">
        <xdr:sp macro="" textlink="">
          <xdr:nvSpPr>
            <xdr:cNvPr id="4" name="TextBox 3"/>
            <xdr:cNvSpPr txBox="1"/>
          </xdr:nvSpPr>
          <xdr:spPr>
            <a:xfrm>
              <a:off x="4545330" y="1725930"/>
              <a:ext cx="3947160" cy="1920240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ru-RU" sz="110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Система</a:t>
              </a:r>
              <a:r>
                <a:rPr lang="ru-RU" sz="1100" i="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для расчетов :</a:t>
              </a:r>
              <a:endParaRPr lang="en-US" sz="1100" i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endParaRPr lang="en-US" sz="1100" i="1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r>
                <a:rPr lang="ru-RU" sz="110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{█(ⅆ𝑁/ⅆ𝑡=1000[0,0065(𝑟−1)−𝑆∗0,02(𝑇 ̃−1)]𝑁+6,5𝐶 ̃@(ⅆ𝐶 ̃)/ⅆ𝑡=0,07(𝑁−(𝐶 ) ̃ )@(ⅆ𝑇 ̃)/ⅆ𝑡=0,147∗𝑁−0.236(𝑇 ̃−0,375) )┤</a:t>
              </a:r>
              <a:endParaRPr lang="ru-RU" sz="1100"/>
            </a:p>
            <a:p>
              <a:r>
                <a:rPr lang="en-US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N</a:t>
              </a:r>
              <a:r>
                <a:rPr lang="ru-RU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(0)=</a:t>
              </a:r>
              <a:r>
                <a:rPr lang="en-US" sz="110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𝑇</a:t>
              </a:r>
              <a:r>
                <a:rPr lang="ru-RU" sz="110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̃</a:t>
              </a:r>
              <a:r>
                <a:rPr lang="ru-RU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(0)=</a:t>
              </a:r>
              <a:r>
                <a:rPr lang="en-US" sz="110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𝐶</a:t>
              </a:r>
              <a:r>
                <a:rPr lang="ru-RU" sz="110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̃(0)=1</a:t>
              </a:r>
              <a:r>
                <a:rPr lang="ru-RU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                    </a:t>
              </a:r>
              <a:r>
                <a:rPr lang="ru-RU" sz="110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−1&lt;𝑟&lt;1</a:t>
              </a:r>
              <a:endParaRPr lang="ru-RU" sz="1100"/>
            </a:p>
            <a:p>
              <a:r>
                <a:rPr lang="en-US" sz="1100"/>
                <a:t>r -</a:t>
              </a:r>
              <a:r>
                <a:rPr lang="ru-RU" sz="1100"/>
                <a:t> реактивность в долях бета.</a:t>
              </a:r>
              <a:r>
                <a:rPr lang="ru-RU" sz="1100" baseline="0"/>
                <a:t> </a:t>
              </a:r>
              <a:r>
                <a:rPr lang="en-US" sz="1100" baseline="0"/>
                <a:t>S- </a:t>
              </a:r>
              <a:r>
                <a:rPr lang="ru-RU" sz="1100" baseline="0"/>
                <a:t>пропорц. коэф. реактивности</a:t>
              </a:r>
              <a:endParaRPr lang="ru-RU" sz="1100"/>
            </a:p>
          </xdr:txBody>
        </xdr:sp>
      </mc:Fallback>
    </mc:AlternateContent>
    <xdr:clientData/>
  </xdr:twoCellAnchor>
  <xdr:twoCellAnchor>
    <xdr:from>
      <xdr:col>1</xdr:col>
      <xdr:colOff>3810</xdr:colOff>
      <xdr:row>9</xdr:row>
      <xdr:rowOff>80010</xdr:rowOff>
    </xdr:from>
    <xdr:to>
      <xdr:col>5</xdr:col>
      <xdr:colOff>457200</xdr:colOff>
      <xdr:row>20</xdr:row>
      <xdr:rowOff>0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TextBox 4"/>
            <xdr:cNvSpPr txBox="1"/>
          </xdr:nvSpPr>
          <xdr:spPr>
            <a:xfrm>
              <a:off x="613410" y="1741170"/>
              <a:ext cx="3562350" cy="1931670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ru-RU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Исходная система уравнений:</a:t>
              </a:r>
            </a:p>
            <a:p>
              <a14:m>
                <m:oMath xmlns:m="http://schemas.openxmlformats.org/officeDocument/2006/math">
                  <m:d>
                    <m:dPr>
                      <m:begChr m:val="{"/>
                      <m:endChr m:val=""/>
                      <m:ctrlPr>
                        <a:rPr lang="ru-RU" sz="1100" i="1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dPr>
                    <m:e>
                      <m:eqArr>
                        <m:eqArrPr>
                          <m:ctrlPr>
                            <a:rPr lang="ru-RU" sz="1100" i="1">
                              <a:solidFill>
                                <a:schemeClr val="dk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eqArrPr>
                        <m:e>
                          <m:f>
                            <m:fPr>
                              <m:ctrlPr>
                                <a:rPr lang="ru-RU" sz="1100" i="1">
                                  <a:solidFill>
                                    <a:schemeClr val="dk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</m:ctrlPr>
                            </m:fPr>
                            <m:num>
                              <m:r>
                                <a:rPr lang="en-US" sz="1100" i="1">
                                  <a:solidFill>
                                    <a:schemeClr val="dk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𝑑𝑊</m:t>
                              </m:r>
                            </m:num>
                            <m:den>
                              <m:r>
                                <a:rPr lang="ru-RU" sz="1100" i="1">
                                  <a:solidFill>
                                    <a:schemeClr val="dk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𝑑𝑡</m:t>
                              </m:r>
                            </m:den>
                          </m:f>
                          <m:r>
                            <a:rPr lang="ru-RU" sz="1100" i="1">
                              <a:solidFill>
                                <a:schemeClr val="dk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=</m:t>
                          </m:r>
                          <m:f>
                            <m:fPr>
                              <m:ctrlPr>
                                <a:rPr lang="ru-RU" sz="1100" i="1">
                                  <a:solidFill>
                                    <a:schemeClr val="dk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</m:ctrlPr>
                            </m:fPr>
                            <m:num>
                              <m:r>
                                <a:rPr lang="ru-RU" sz="1100" i="1">
                                  <a:solidFill>
                                    <a:schemeClr val="dk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𝜌</m:t>
                              </m:r>
                              <m:d>
                                <m:dPr>
                                  <m:ctrlPr>
                                    <a:rPr lang="ru-RU" sz="1100" i="1">
                                      <a:solidFill>
                                        <a:schemeClr val="dk1"/>
                                      </a:solidFill>
                                      <a:effectLst/>
                                      <a:latin typeface="Cambria Math" panose="02040503050406030204" pitchFamily="18" charset="0"/>
                                      <a:ea typeface="+mn-ea"/>
                                      <a:cs typeface="+mn-cs"/>
                                    </a:rPr>
                                  </m:ctrlPr>
                                </m:dPr>
                                <m:e>
                                  <m:sSub>
                                    <m:sSubPr>
                                      <m:ctrlPr>
                                        <a:rPr lang="ru-RU" sz="1100" i="1">
                                          <a:solidFill>
                                            <a:schemeClr val="dk1"/>
                                          </a:solidFill>
                                          <a:effectLst/>
                                          <a:latin typeface="Cambria Math" panose="02040503050406030204" pitchFamily="18" charset="0"/>
                                          <a:ea typeface="+mn-ea"/>
                                          <a:cs typeface="+mn-cs"/>
                                        </a:rPr>
                                      </m:ctrlPr>
                                    </m:sSubPr>
                                    <m:e>
                                      <m:r>
                                        <a:rPr lang="ru-RU" sz="1100" i="1">
                                          <a:solidFill>
                                            <a:schemeClr val="dk1"/>
                                          </a:solidFill>
                                          <a:effectLst/>
                                          <a:latin typeface="Cambria Math" panose="02040503050406030204" pitchFamily="18" charset="0"/>
                                          <a:ea typeface="+mn-ea"/>
                                          <a:cs typeface="+mn-cs"/>
                                        </a:rPr>
                                        <m:t>𝑇</m:t>
                                      </m:r>
                                    </m:e>
                                    <m:sub>
                                      <m:r>
                                        <a:rPr lang="ru-RU" sz="1100" i="1">
                                          <a:solidFill>
                                            <a:schemeClr val="dk1"/>
                                          </a:solidFill>
                                          <a:effectLst/>
                                          <a:latin typeface="Cambria Math" panose="02040503050406030204" pitchFamily="18" charset="0"/>
                                          <a:ea typeface="+mn-ea"/>
                                          <a:cs typeface="+mn-cs"/>
                                        </a:rPr>
                                        <m:t>𝑇</m:t>
                                      </m:r>
                                    </m:sub>
                                  </m:sSub>
                                </m:e>
                              </m:d>
                              <m:r>
                                <a:rPr lang="ru-RU" sz="1100" i="1">
                                  <a:solidFill>
                                    <a:schemeClr val="dk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−</m:t>
                              </m:r>
                              <m:r>
                                <a:rPr lang="ru-RU" sz="1100" i="1">
                                  <a:solidFill>
                                    <a:schemeClr val="dk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𝛽</m:t>
                              </m:r>
                            </m:num>
                            <m:den>
                              <m:r>
                                <a:rPr lang="ru-RU" sz="1100" i="1">
                                  <a:solidFill>
                                    <a:schemeClr val="dk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𝑙</m:t>
                              </m:r>
                            </m:den>
                          </m:f>
                          <m:r>
                            <a:rPr lang="ru-RU" sz="1100" i="1">
                              <a:solidFill>
                                <a:schemeClr val="dk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𝑊</m:t>
                          </m:r>
                          <m:r>
                            <a:rPr lang="ru-RU" sz="1100" i="1">
                              <a:solidFill>
                                <a:schemeClr val="dk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+</m:t>
                          </m:r>
                          <m:r>
                            <a:rPr lang="ru-RU" sz="1100" i="1">
                              <a:solidFill>
                                <a:schemeClr val="dk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𝜆</m:t>
                          </m:r>
                          <m:r>
                            <a:rPr lang="ru-RU" sz="1100" i="1">
                              <a:solidFill>
                                <a:schemeClr val="dk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𝐶</m:t>
                          </m:r>
                          <m:r>
                            <a:rPr lang="ru-RU" sz="1100" i="1">
                              <a:solidFill>
                                <a:schemeClr val="dk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,</m:t>
                          </m:r>
                        </m:e>
                        <m:e>
                          <m:f>
                            <m:fPr>
                              <m:ctrlPr>
                                <a:rPr lang="ru-RU" sz="1100" i="1">
                                  <a:solidFill>
                                    <a:schemeClr val="dk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</m:ctrlPr>
                            </m:fPr>
                            <m:num>
                              <m:r>
                                <a:rPr lang="ru-RU" sz="1100" i="1">
                                  <a:solidFill>
                                    <a:schemeClr val="dk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𝑑𝐶</m:t>
                              </m:r>
                            </m:num>
                            <m:den>
                              <m:r>
                                <a:rPr lang="ru-RU" sz="1100" i="1">
                                  <a:solidFill>
                                    <a:schemeClr val="dk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𝑑𝑡</m:t>
                              </m:r>
                            </m:den>
                          </m:f>
                          <m:r>
                            <a:rPr lang="ru-RU" sz="1100" i="1">
                              <a:solidFill>
                                <a:schemeClr val="dk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=</m:t>
                          </m:r>
                          <m:f>
                            <m:fPr>
                              <m:ctrlPr>
                                <a:rPr lang="ru-RU" sz="1100" i="1">
                                  <a:solidFill>
                                    <a:schemeClr val="dk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</m:ctrlPr>
                            </m:fPr>
                            <m:num>
                              <m:r>
                                <a:rPr lang="ru-RU" sz="1100" i="1">
                                  <a:solidFill>
                                    <a:schemeClr val="dk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𝛽</m:t>
                              </m:r>
                              <m:r>
                                <a:rPr lang="ru-RU" sz="1100" i="1">
                                  <a:solidFill>
                                    <a:schemeClr val="dk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𝑊</m:t>
                              </m:r>
                            </m:num>
                            <m:den>
                              <m:r>
                                <a:rPr lang="ru-RU" sz="1100" i="1">
                                  <a:solidFill>
                                    <a:schemeClr val="dk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𝑙</m:t>
                              </m:r>
                            </m:den>
                          </m:f>
                          <m:r>
                            <a:rPr lang="ru-RU" sz="1100" i="1">
                              <a:solidFill>
                                <a:schemeClr val="dk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−</m:t>
                          </m:r>
                          <m:r>
                            <a:rPr lang="ru-RU" sz="1100" i="1">
                              <a:solidFill>
                                <a:schemeClr val="dk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𝜆</m:t>
                          </m:r>
                          <m:r>
                            <a:rPr lang="ru-RU" sz="1100" i="1">
                              <a:solidFill>
                                <a:schemeClr val="dk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𝐶</m:t>
                          </m:r>
                          <m:r>
                            <a:rPr lang="ru-RU" sz="1100" i="1">
                              <a:solidFill>
                                <a:schemeClr val="dk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,</m:t>
                          </m:r>
                        </m:e>
                        <m:e>
                          <m:sSub>
                            <m:sSubPr>
                              <m:ctrlPr>
                                <a:rPr lang="ru-RU" sz="1100" i="1">
                                  <a:solidFill>
                                    <a:schemeClr val="dk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</m:ctrlPr>
                            </m:sSubPr>
                            <m:e>
                              <m:r>
                                <a:rPr lang="ru-RU" sz="1100" i="1">
                                  <a:solidFill>
                                    <a:schemeClr val="dk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𝑚</m:t>
                              </m:r>
                            </m:e>
                            <m:sub>
                              <m:r>
                                <a:rPr lang="ru-RU" sz="1100" i="1">
                                  <a:solidFill>
                                    <a:schemeClr val="dk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𝑡</m:t>
                              </m:r>
                            </m:sub>
                          </m:sSub>
                          <m:sSub>
                            <m:sSubPr>
                              <m:ctrlPr>
                                <a:rPr lang="ru-RU" sz="1100" i="1">
                                  <a:solidFill>
                                    <a:schemeClr val="dk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</m:ctrlPr>
                            </m:sSubPr>
                            <m:e>
                              <m:r>
                                <a:rPr lang="ru-RU" sz="1100" i="1">
                                  <a:solidFill>
                                    <a:schemeClr val="dk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𝑐</m:t>
                              </m:r>
                            </m:e>
                            <m:sub>
                              <m:r>
                                <a:rPr lang="ru-RU" sz="1100" i="1">
                                  <a:solidFill>
                                    <a:schemeClr val="dk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𝑡</m:t>
                              </m:r>
                            </m:sub>
                          </m:sSub>
                          <m:f>
                            <m:fPr>
                              <m:ctrlPr>
                                <a:rPr lang="ru-RU" sz="1100" i="1">
                                  <a:solidFill>
                                    <a:schemeClr val="dk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</m:ctrlPr>
                            </m:fPr>
                            <m:num>
                              <m:r>
                                <a:rPr lang="ru-RU" sz="1100" i="1">
                                  <a:solidFill>
                                    <a:schemeClr val="dk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𝑑</m:t>
                              </m:r>
                              <m:sSub>
                                <m:sSubPr>
                                  <m:ctrlPr>
                                    <a:rPr lang="ru-RU" sz="1100" i="1">
                                      <a:solidFill>
                                        <a:schemeClr val="dk1"/>
                                      </a:solidFill>
                                      <a:effectLst/>
                                      <a:latin typeface="Cambria Math" panose="02040503050406030204" pitchFamily="18" charset="0"/>
                                      <a:ea typeface="+mn-ea"/>
                                      <a:cs typeface="+mn-cs"/>
                                    </a:rPr>
                                  </m:ctrlPr>
                                </m:sSubPr>
                                <m:e>
                                  <m:r>
                                    <a:rPr lang="ru-RU" sz="1100" i="1">
                                      <a:solidFill>
                                        <a:schemeClr val="dk1"/>
                                      </a:solidFill>
                                      <a:effectLst/>
                                      <a:latin typeface="Cambria Math" panose="02040503050406030204" pitchFamily="18" charset="0"/>
                                      <a:ea typeface="+mn-ea"/>
                                      <a:cs typeface="+mn-cs"/>
                                    </a:rPr>
                                    <m:t>𝑇</m:t>
                                  </m:r>
                                </m:e>
                                <m:sub>
                                  <m:r>
                                    <a:rPr lang="ru-RU" sz="1100" i="1">
                                      <a:solidFill>
                                        <a:schemeClr val="dk1"/>
                                      </a:solidFill>
                                      <a:effectLst/>
                                      <a:latin typeface="Cambria Math" panose="02040503050406030204" pitchFamily="18" charset="0"/>
                                      <a:ea typeface="+mn-ea"/>
                                      <a:cs typeface="+mn-cs"/>
                                    </a:rPr>
                                    <m:t>𝑇</m:t>
                                  </m:r>
                                </m:sub>
                              </m:sSub>
                            </m:num>
                            <m:den>
                              <m:r>
                                <a:rPr lang="ru-RU" sz="1100" i="1">
                                  <a:solidFill>
                                    <a:schemeClr val="dk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𝑑𝑡</m:t>
                              </m:r>
                            </m:den>
                          </m:f>
                          <m:r>
                            <a:rPr lang="ru-RU" sz="1100" i="1">
                              <a:solidFill>
                                <a:schemeClr val="dk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=</m:t>
                          </m:r>
                          <m:r>
                            <a:rPr lang="ru-RU" sz="1100" i="1">
                              <a:solidFill>
                                <a:schemeClr val="dk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𝑊</m:t>
                          </m:r>
                          <m:r>
                            <a:rPr lang="ru-RU" sz="1100" i="1">
                              <a:solidFill>
                                <a:schemeClr val="dk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−</m:t>
                          </m:r>
                          <m:sSub>
                            <m:sSubPr>
                              <m:ctrlPr>
                                <a:rPr lang="ru-RU" sz="1100" i="1">
                                  <a:solidFill>
                                    <a:schemeClr val="dk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</m:ctrlPr>
                            </m:sSubPr>
                            <m:e>
                              <m:r>
                                <a:rPr lang="ru-RU" sz="1100" i="1">
                                  <a:solidFill>
                                    <a:schemeClr val="dk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𝐾</m:t>
                              </m:r>
                            </m:e>
                            <m:sub>
                              <m:r>
                                <a:rPr lang="ru-RU" sz="1100" i="1">
                                  <a:solidFill>
                                    <a:schemeClr val="dk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ТП</m:t>
                              </m:r>
                            </m:sub>
                          </m:sSub>
                          <m:d>
                            <m:dPr>
                              <m:ctrlPr>
                                <a:rPr lang="ru-RU" sz="1100" i="1">
                                  <a:solidFill>
                                    <a:schemeClr val="dk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</m:ctrlPr>
                            </m:dPr>
                            <m:e>
                              <m:sSub>
                                <m:sSubPr>
                                  <m:ctrlPr>
                                    <a:rPr lang="ru-RU" sz="1100" i="1">
                                      <a:solidFill>
                                        <a:schemeClr val="dk1"/>
                                      </a:solidFill>
                                      <a:effectLst/>
                                      <a:latin typeface="Cambria Math" panose="02040503050406030204" pitchFamily="18" charset="0"/>
                                      <a:ea typeface="+mn-ea"/>
                                      <a:cs typeface="+mn-cs"/>
                                    </a:rPr>
                                  </m:ctrlPr>
                                </m:sSubPr>
                                <m:e>
                                  <m:r>
                                    <a:rPr lang="en-US" sz="1100" i="1">
                                      <a:solidFill>
                                        <a:schemeClr val="dk1"/>
                                      </a:solidFill>
                                      <a:effectLst/>
                                      <a:latin typeface="Cambria Math" panose="02040503050406030204" pitchFamily="18" charset="0"/>
                                      <a:ea typeface="+mn-ea"/>
                                      <a:cs typeface="+mn-cs"/>
                                    </a:rPr>
                                    <m:t>𝑇</m:t>
                                  </m:r>
                                </m:e>
                                <m:sub>
                                  <m:r>
                                    <a:rPr lang="ru-RU" sz="1100" i="1">
                                      <a:solidFill>
                                        <a:schemeClr val="dk1"/>
                                      </a:solidFill>
                                      <a:effectLst/>
                                      <a:latin typeface="Cambria Math" panose="02040503050406030204" pitchFamily="18" charset="0"/>
                                      <a:ea typeface="+mn-ea"/>
                                      <a:cs typeface="+mn-cs"/>
                                    </a:rPr>
                                    <m:t>𝑇</m:t>
                                  </m:r>
                                </m:sub>
                              </m:sSub>
                              <m:r>
                                <a:rPr lang="ru-RU" sz="1100" i="1">
                                  <a:solidFill>
                                    <a:schemeClr val="dk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−</m:t>
                              </m:r>
                              <m:sSub>
                                <m:sSubPr>
                                  <m:ctrlPr>
                                    <a:rPr lang="ru-RU" sz="1100" i="1">
                                      <a:solidFill>
                                        <a:schemeClr val="dk1"/>
                                      </a:solidFill>
                                      <a:effectLst/>
                                      <a:latin typeface="Cambria Math" panose="02040503050406030204" pitchFamily="18" charset="0"/>
                                      <a:ea typeface="+mn-ea"/>
                                      <a:cs typeface="+mn-cs"/>
                                    </a:rPr>
                                  </m:ctrlPr>
                                </m:sSubPr>
                                <m:e>
                                  <m:r>
                                    <a:rPr lang="ru-RU" sz="1100" i="1">
                                      <a:solidFill>
                                        <a:schemeClr val="dk1"/>
                                      </a:solidFill>
                                      <a:effectLst/>
                                      <a:latin typeface="Cambria Math" panose="02040503050406030204" pitchFamily="18" charset="0"/>
                                      <a:ea typeface="+mn-ea"/>
                                      <a:cs typeface="+mn-cs"/>
                                    </a:rPr>
                                    <m:t>𝑇</m:t>
                                  </m:r>
                                </m:e>
                                <m:sub>
                                  <m:r>
                                    <a:rPr lang="ru-RU" sz="1100" i="1">
                                      <a:solidFill>
                                        <a:schemeClr val="dk1"/>
                                      </a:solidFill>
                                      <a:effectLst/>
                                      <a:latin typeface="Cambria Math" panose="02040503050406030204" pitchFamily="18" charset="0"/>
                                      <a:ea typeface="+mn-ea"/>
                                      <a:cs typeface="+mn-cs"/>
                                    </a:rPr>
                                    <m:t>ВО</m:t>
                                  </m:r>
                                </m:sub>
                              </m:sSub>
                            </m:e>
                          </m:d>
                          <m:r>
                            <a:rPr lang="ru-RU" sz="1100" i="1">
                              <a:solidFill>
                                <a:schemeClr val="dk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,</m:t>
                          </m:r>
                        </m:e>
                        <m:e>
                          <m:r>
                            <a:rPr lang="ru-RU" sz="1100" i="1">
                              <a:solidFill>
                                <a:schemeClr val="dk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𝜌</m:t>
                          </m:r>
                          <m:r>
                            <a:rPr lang="ru-RU" sz="1100" i="1">
                              <a:solidFill>
                                <a:schemeClr val="dk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=</m:t>
                          </m:r>
                          <m:sSub>
                            <m:sSubPr>
                              <m:ctrlPr>
                                <a:rPr lang="ru-RU" sz="1100" i="1">
                                  <a:solidFill>
                                    <a:schemeClr val="dk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</m:ctrlPr>
                            </m:sSubPr>
                            <m:e>
                              <m:r>
                                <a:rPr lang="ru-RU" sz="1100" i="1">
                                  <a:solidFill>
                                    <a:schemeClr val="dk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𝜌</m:t>
                              </m:r>
                            </m:e>
                            <m:sub>
                              <m:r>
                                <a:rPr lang="ru-RU" sz="1100" i="1">
                                  <a:solidFill>
                                    <a:schemeClr val="dk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0</m:t>
                              </m:r>
                            </m:sub>
                          </m:sSub>
                          <m:r>
                            <a:rPr lang="ru-RU" sz="1100" i="1">
                              <a:solidFill>
                                <a:schemeClr val="dk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+</m:t>
                          </m:r>
                          <m:sSub>
                            <m:sSubPr>
                              <m:ctrlPr>
                                <a:rPr lang="ru-RU" sz="1100" i="1">
                                  <a:solidFill>
                                    <a:schemeClr val="dk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</m:ctrlPr>
                            </m:sSubPr>
                            <m:e>
                              <m:r>
                                <a:rPr lang="ru-RU" sz="1100" i="1">
                                  <a:solidFill>
                                    <a:schemeClr val="dk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𝛼</m:t>
                              </m:r>
                            </m:e>
                            <m:sub>
                              <m:r>
                                <a:rPr lang="ru-RU" sz="1100" i="1">
                                  <a:solidFill>
                                    <a:schemeClr val="dk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𝑇</m:t>
                              </m:r>
                            </m:sub>
                          </m:sSub>
                          <m:r>
                            <a:rPr lang="ru-RU" sz="1100" i="1">
                              <a:solidFill>
                                <a:schemeClr val="dk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(</m:t>
                          </m:r>
                          <m:sSub>
                            <m:sSubPr>
                              <m:ctrlPr>
                                <a:rPr lang="ru-RU" sz="1100" i="1">
                                  <a:solidFill>
                                    <a:schemeClr val="dk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</m:ctrlPr>
                            </m:sSubPr>
                            <m:e>
                              <m:r>
                                <a:rPr lang="ru-RU" sz="1100" i="1">
                                  <a:solidFill>
                                    <a:schemeClr val="dk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𝑇</m:t>
                              </m:r>
                            </m:e>
                            <m:sub>
                              <m:r>
                                <a:rPr lang="ru-RU" sz="1100" i="1">
                                  <a:solidFill>
                                    <a:schemeClr val="dk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𝑇</m:t>
                              </m:r>
                            </m:sub>
                          </m:sSub>
                          <m:r>
                            <a:rPr lang="ru-RU" sz="1100" i="1">
                              <a:solidFill>
                                <a:schemeClr val="dk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−</m:t>
                          </m:r>
                          <m:sSub>
                            <m:sSubPr>
                              <m:ctrlPr>
                                <a:rPr lang="ru-RU" sz="1100" i="1">
                                  <a:solidFill>
                                    <a:schemeClr val="dk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</m:ctrlPr>
                            </m:sSubPr>
                            <m:e>
                              <m:r>
                                <a:rPr lang="ru-RU" sz="1100" i="1">
                                  <a:solidFill>
                                    <a:schemeClr val="dk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𝑇</m:t>
                              </m:r>
                            </m:e>
                            <m:sub>
                              <m:r>
                                <a:rPr lang="ru-RU" sz="1100" i="1">
                                  <a:solidFill>
                                    <a:schemeClr val="dk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0</m:t>
                              </m:r>
                            </m:sub>
                          </m:sSub>
                          <m:r>
                            <a:rPr lang="ru-RU" sz="1100" i="1">
                              <a:solidFill>
                                <a:schemeClr val="dk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)</m:t>
                          </m:r>
                        </m:e>
                      </m:eqArr>
                    </m:e>
                  </m:d>
                </m:oMath>
              </a14:m>
              <a:r>
                <a:rPr lang="ru-RU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                                                    </a:t>
              </a:r>
            </a:p>
            <a:p>
              <a:r>
                <a:rPr lang="ru-RU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Начальные условия: </a:t>
              </a:r>
              <a14:m>
                <m:oMath xmlns:m="http://schemas.openxmlformats.org/officeDocument/2006/math">
                  <m:r>
                    <a:rPr lang="ru-RU" sz="1100" i="1">
                      <a:solidFill>
                        <a:schemeClr val="dk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𝑊</m:t>
                  </m:r>
                  <m:d>
                    <m:dPr>
                      <m:ctrlPr>
                        <a:rPr lang="ru-RU" sz="1100" i="1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dPr>
                    <m:e>
                      <m:r>
                        <a:rPr lang="ru-RU" sz="1100" i="1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0</m:t>
                      </m:r>
                    </m:e>
                  </m:d>
                  <m:r>
                    <a:rPr lang="ru-RU" sz="1100" i="1">
                      <a:solidFill>
                        <a:schemeClr val="dk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=</m:t>
                  </m:r>
                  <m:sSub>
                    <m:sSubPr>
                      <m:ctrlPr>
                        <a:rPr lang="ru-RU" sz="1100" i="1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ru-RU" sz="1100" i="1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𝑊</m:t>
                      </m:r>
                    </m:e>
                    <m:sub>
                      <m:r>
                        <a:rPr lang="ru-RU" sz="1100" i="1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0</m:t>
                      </m:r>
                    </m:sub>
                  </m:sSub>
                  <m:r>
                    <a:rPr lang="ru-RU" sz="1100" i="1">
                      <a:solidFill>
                        <a:schemeClr val="dk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;      </m:t>
                  </m:r>
                  <m:r>
                    <a:rPr lang="ru-RU" sz="1100" i="1">
                      <a:solidFill>
                        <a:schemeClr val="dk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𝐶</m:t>
                  </m:r>
                  <m:d>
                    <m:dPr>
                      <m:ctrlPr>
                        <a:rPr lang="ru-RU" sz="1100" i="1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dPr>
                    <m:e>
                      <m:r>
                        <a:rPr lang="ru-RU" sz="1100" i="1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0</m:t>
                      </m:r>
                    </m:e>
                  </m:d>
                  <m:r>
                    <a:rPr lang="ru-RU" sz="1100" i="1">
                      <a:solidFill>
                        <a:schemeClr val="dk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=</m:t>
                  </m:r>
                  <m:sSub>
                    <m:sSubPr>
                      <m:ctrlPr>
                        <a:rPr lang="ru-RU" sz="1100" i="1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ru-RU" sz="1100" i="1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𝐶</m:t>
                      </m:r>
                    </m:e>
                    <m:sub>
                      <m:r>
                        <a:rPr lang="ru-RU" sz="1100" i="1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0</m:t>
                      </m:r>
                    </m:sub>
                  </m:sSub>
                  <m:r>
                    <a:rPr lang="ru-RU" sz="1100" i="1">
                      <a:solidFill>
                        <a:schemeClr val="dk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;       </m:t>
                  </m:r>
                  <m:sSub>
                    <m:sSubPr>
                      <m:ctrlPr>
                        <a:rPr lang="ru-RU" sz="1100" i="1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ru-RU" sz="1100" i="1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𝑇</m:t>
                      </m:r>
                    </m:e>
                    <m:sub>
                      <m:r>
                        <a:rPr lang="ru-RU" sz="1100" i="1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𝑇</m:t>
                      </m:r>
                    </m:sub>
                  </m:sSub>
                  <m:d>
                    <m:dPr>
                      <m:ctrlPr>
                        <a:rPr lang="ru-RU" sz="1100" i="1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dPr>
                    <m:e>
                      <m:r>
                        <a:rPr lang="ru-RU" sz="1100" i="1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0</m:t>
                      </m:r>
                    </m:e>
                  </m:d>
                  <m:r>
                    <a:rPr lang="ru-RU" sz="1100" i="1">
                      <a:solidFill>
                        <a:schemeClr val="dk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=</m:t>
                  </m:r>
                  <m:sSub>
                    <m:sSubPr>
                      <m:ctrlPr>
                        <a:rPr lang="ru-RU" sz="1100" i="1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ru-RU" sz="1100" i="1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𝑇</m:t>
                      </m:r>
                    </m:e>
                    <m:sub>
                      <m:r>
                        <a:rPr lang="ru-RU" sz="1100" i="1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0</m:t>
                      </m:r>
                    </m:sub>
                  </m:sSub>
                </m:oMath>
              </a14:m>
              <a:r>
                <a:rPr lang="ru-RU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                             </a:t>
              </a:r>
              <a:endParaRPr lang="ru-RU" sz="1100"/>
            </a:p>
          </xdr:txBody>
        </xdr:sp>
      </mc:Choice>
      <mc:Fallback xmlns="">
        <xdr:sp macro="" textlink="">
          <xdr:nvSpPr>
            <xdr:cNvPr id="5" name="TextBox 4"/>
            <xdr:cNvSpPr txBox="1"/>
          </xdr:nvSpPr>
          <xdr:spPr>
            <a:xfrm>
              <a:off x="613410" y="1741170"/>
              <a:ext cx="3562350" cy="1931670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ru-RU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Исходная система уравнений:</a:t>
              </a:r>
            </a:p>
            <a:p>
              <a:r>
                <a:rPr lang="ru-RU" sz="110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{█(</a:t>
              </a:r>
              <a:r>
                <a:rPr lang="en-US" sz="110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𝑑𝑊</a:t>
              </a:r>
              <a:r>
                <a:rPr lang="ru-RU" sz="110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/𝑑𝑡=(𝜌(𝑇_𝑇 )−𝛽)/𝑙 𝑊+𝜆𝐶,@𝑑𝐶/𝑑𝑡=𝛽𝑊/𝑙−𝜆𝐶,@𝑚_𝑡 𝑐_𝑡  (𝑑𝑇_𝑇)/𝑑𝑡=𝑊−𝐾_ТП (</a:t>
              </a:r>
              <a:r>
                <a:rPr lang="en-US" sz="110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𝑇</a:t>
              </a:r>
              <a:r>
                <a:rPr lang="ru-RU" sz="110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_𝑇−𝑇_ВО ),@𝜌=𝜌_0+𝛼_𝑇 (𝑇_𝑇−𝑇_0))┤</a:t>
              </a:r>
              <a:r>
                <a:rPr lang="ru-RU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                                                    </a:t>
              </a:r>
            </a:p>
            <a:p>
              <a:r>
                <a:rPr lang="ru-RU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Начальные условия: </a:t>
              </a:r>
              <a:r>
                <a:rPr lang="ru-RU" sz="110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𝑊(0)=𝑊_0;      𝐶(0)=𝐶_0;       𝑇_𝑇 (0)=𝑇_0</a:t>
              </a:r>
              <a:r>
                <a:rPr lang="ru-RU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                             </a:t>
              </a:r>
              <a:endParaRPr lang="ru-RU" sz="1100"/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T121"/>
  <sheetViews>
    <sheetView tabSelected="1" topLeftCell="J13" zoomScale="200" zoomScaleNormal="200" workbookViewId="0">
      <selection activeCell="D22" sqref="D22"/>
    </sheetView>
  </sheetViews>
  <sheetFormatPr defaultRowHeight="15" x14ac:dyDescent="0.25"/>
  <cols>
    <col min="2" max="2" width="10.85546875" customWidth="1"/>
    <col min="4" max="4" width="16.7109375" customWidth="1"/>
    <col min="9" max="9" width="12.5703125" bestFit="1" customWidth="1"/>
    <col min="11" max="11" width="11.42578125" bestFit="1" customWidth="1"/>
    <col min="12" max="13" width="12.5703125" bestFit="1" customWidth="1"/>
    <col min="16" max="16" width="11.140625" bestFit="1" customWidth="1"/>
    <col min="17" max="18" width="13.140625" bestFit="1" customWidth="1"/>
    <col min="19" max="19" width="12.5703125" bestFit="1" customWidth="1"/>
    <col min="20" max="20" width="13.140625" bestFit="1" customWidth="1"/>
  </cols>
  <sheetData>
    <row r="2" spans="1:17" ht="15" customHeight="1" x14ac:dyDescent="0.25">
      <c r="A2" s="3" t="s">
        <v>18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17" x14ac:dyDescent="0.25">
      <c r="A4" s="5" t="s">
        <v>20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</row>
    <row r="5" spans="1:17" x14ac:dyDescent="0.25">
      <c r="A5" s="5" t="s">
        <v>14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</row>
    <row r="6" spans="1:17" s="1" customFormat="1" x14ac:dyDescent="0.25">
      <c r="A6" s="4" t="s">
        <v>19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</row>
    <row r="7" spans="1:17" x14ac:dyDescent="0.25">
      <c r="A7" s="1" t="s">
        <v>15</v>
      </c>
      <c r="B7" s="1" t="s">
        <v>16</v>
      </c>
      <c r="C7" s="1" t="s">
        <v>17</v>
      </c>
      <c r="D7" s="1" t="s">
        <v>28</v>
      </c>
      <c r="E7" s="4" t="s">
        <v>21</v>
      </c>
      <c r="F7" s="4"/>
      <c r="G7" s="4"/>
      <c r="H7" s="4"/>
      <c r="I7" s="4"/>
      <c r="J7" s="4"/>
      <c r="K7" s="4"/>
      <c r="L7" s="4"/>
      <c r="M7" s="4"/>
    </row>
    <row r="8" spans="1:17" x14ac:dyDescent="0.25">
      <c r="A8">
        <v>0.2</v>
      </c>
      <c r="B8">
        <v>6.4999999999999997E-3</v>
      </c>
      <c r="C8">
        <v>0.1</v>
      </c>
      <c r="D8" s="1">
        <v>1</v>
      </c>
    </row>
    <row r="22" spans="1:20" x14ac:dyDescent="0.25">
      <c r="A22" t="s">
        <v>11</v>
      </c>
      <c r="B22" t="s">
        <v>12</v>
      </c>
      <c r="C22" t="s">
        <v>0</v>
      </c>
      <c r="D22" t="s">
        <v>1</v>
      </c>
      <c r="E22" t="s">
        <v>2</v>
      </c>
      <c r="F22" t="s">
        <v>3</v>
      </c>
      <c r="G22" t="s">
        <v>4</v>
      </c>
      <c r="H22" t="s">
        <v>5</v>
      </c>
      <c r="I22" t="s">
        <v>13</v>
      </c>
      <c r="J22" t="s">
        <v>6</v>
      </c>
      <c r="K22" t="s">
        <v>7</v>
      </c>
      <c r="L22" t="s">
        <v>8</v>
      </c>
      <c r="M22" t="s">
        <v>9</v>
      </c>
      <c r="N22" t="s">
        <v>10</v>
      </c>
      <c r="O22" s="1" t="s">
        <v>22</v>
      </c>
      <c r="P22" s="1" t="s">
        <v>23</v>
      </c>
      <c r="Q22" s="1" t="s">
        <v>24</v>
      </c>
      <c r="R22" s="1" t="s">
        <v>25</v>
      </c>
      <c r="S22" s="1" t="s">
        <v>26</v>
      </c>
      <c r="T22" s="1" t="s">
        <v>27</v>
      </c>
    </row>
    <row r="23" spans="1:20" x14ac:dyDescent="0.25">
      <c r="A23">
        <v>0</v>
      </c>
      <c r="B23">
        <v>1</v>
      </c>
      <c r="C23">
        <v>1</v>
      </c>
      <c r="D23">
        <f>(1000*($B$8*($A$8-1)-$D$8*0.02*(O23-1))*C23+6.5*I23)*$C$8</f>
        <v>0.12999999999999998</v>
      </c>
      <c r="E23">
        <f>(1000*($B$8*($A$8-1)-$D$8*0.02*(O23+P23/2-1))*(C23+D23/2)+6.5*(I23+J23/2))*$C$8</f>
        <v>9.6253250000000179E-2</v>
      </c>
      <c r="F23">
        <f>(1000*($B$8*($A$8-1)-$D$8*0.02*(O23+Q23/2-1))*(C23+E23/2)+6.5*(I23+K23/2))*$C$8</f>
        <v>0.10418606419635373</v>
      </c>
      <c r="G23">
        <f>(1000*($B$8*($A$8-1)-$D$8*0.02*(O23+R23-1))*(C23+F23)+6.5*(I23+L23))*$C$8</f>
        <v>7.4633012179288374E-2</v>
      </c>
      <c r="H23">
        <f>(1/6)*(D23+2*E23+2*F23+G23)</f>
        <v>0.10091860676199937</v>
      </c>
      <c r="I23">
        <v>1</v>
      </c>
      <c r="J23">
        <f>0.0765*(C23-I23)*$C$8</f>
        <v>0</v>
      </c>
      <c r="K23">
        <f>0.0765*((C23+D23/2)-(I23+J23/2))*$C$8</f>
        <v>4.9724999999999965E-4</v>
      </c>
      <c r="L23">
        <f>0.0765*((C23+E23/2)-(I23+K23/2))*$C$8</f>
        <v>3.6626670000000069E-4</v>
      </c>
      <c r="M23">
        <f>0.0765*((C23+F23)-(I23+L23))*$C$8</f>
        <v>7.9422145084710608E-4</v>
      </c>
      <c r="N23">
        <f>(1/6)*(J23+2*K23+2*L23+M23)</f>
        <v>4.2020914180785111E-4</v>
      </c>
      <c r="O23" s="1">
        <v>1</v>
      </c>
      <c r="P23">
        <f>(0.147*(C23)-0.236*(O23-0.375))*$C$8</f>
        <v>-5.000000000000005E-5</v>
      </c>
      <c r="Q23">
        <f>(0.147*(C23+D23/2)-0.236*(O23+P23/2 -0.375))*$C$8</f>
        <v>9.0608999999999829E-4</v>
      </c>
      <c r="R23">
        <f>(0.147*(C23+E23/2)-0.236*(O23+Q23/2 -0.375))*$C$8</f>
        <v>6.4676952550000175E-4</v>
      </c>
      <c r="S23">
        <f>(0.147*(C23+F23)-0.236*(O23+R23 -0.375))*$C$8</f>
        <v>1.4662713828846015E-3</v>
      </c>
      <c r="T23">
        <f>(1/6)*(P23 +2*Q23+2*R23+S23)</f>
        <v>7.5366507231410028E-4</v>
      </c>
    </row>
    <row r="24" spans="1:20" x14ac:dyDescent="0.25">
      <c r="A24">
        <f>A23+$C$8</f>
        <v>0.1</v>
      </c>
      <c r="B24">
        <f>(1/(1-$A$8))*EXP(0.0768*$A$8*A24/(1-$A$8))-($A$8/(1-$A$8))*EXP(-1000*$B$8*(1-$A$8)*A24)</f>
        <v>1.1037721684827195</v>
      </c>
      <c r="C24">
        <f>C23+H23</f>
        <v>1.1009186067619994</v>
      </c>
      <c r="D24">
        <f>(1000*($B$8*($A$8-1)-$D$8*0.02*(O24-1))*C24+6.5*I24)*$C$8</f>
        <v>7.6136012623181148E-2</v>
      </c>
      <c r="E24">
        <f>(1000*($B$8*($A$8-1)-$D$8*0.02*(O24+P24/2-1))*(C24+D24/2)+6.5*(I24+J24/2))*$C$8</f>
        <v>5.4920649690889084E-2</v>
      </c>
      <c r="F24">
        <f>(1000*($B$8*($A$8-1)-$D$8*0.02*(O24+Q24/2-1))*(C24+E24/2)+6.5*(I24+K24/2))*$C$8</f>
        <v>5.9948751243541577E-2</v>
      </c>
      <c r="G24">
        <f>(1000*($B$8*($A$8-1)-$D$8*0.02*(O24+R24-1))*(C24+F24)+6.5*(I24+L24))*$C$8</f>
        <v>4.1335478474544197E-2</v>
      </c>
      <c r="H24">
        <f>(1/6)*(D24+2*E24+2*F24+G24)</f>
        <v>5.7868382161097777E-2</v>
      </c>
      <c r="I24">
        <f>I23+N23</f>
        <v>1.000420209141808</v>
      </c>
      <c r="J24">
        <f>0.0765*(C24-I24)*$C$8</f>
        <v>7.688127417944643E-4</v>
      </c>
      <c r="K24">
        <f>0.0765*((C24+D24/2)-(I24+J24/2))*$C$8</f>
        <v>1.0570922813407679E-3</v>
      </c>
      <c r="L24">
        <f>0.0765*((C24+E24/2)-(I24+K24/2))*$C$8</f>
        <v>9.7484084888598747E-4</v>
      </c>
      <c r="M24">
        <f>0.0765*((C24+F24)-(I24+L24))*$C$8</f>
        <v>1.2199631563135798E-3</v>
      </c>
      <c r="N24">
        <f>(1/6)*(J24+2*K24+2*L24+M24)</f>
        <v>1.0087736930935924E-3</v>
      </c>
      <c r="O24" s="1">
        <f>O23+T23</f>
        <v>1.0007536650723141</v>
      </c>
      <c r="P24">
        <f>(0.147*(C24)-0.236*(O24-0.375))*$C$8</f>
        <v>1.4157170236947791E-3</v>
      </c>
      <c r="Q24">
        <f>(0.147*(C24+D24/2)-0.236*(O24+P24/2 -0.375))*$C$8</f>
        <v>1.9586112555955606E-3</v>
      </c>
      <c r="R24">
        <f>(0.147*(C24+E24/2)-0.236*(O24+Q24/2 -0.375))*$C$8</f>
        <v>1.7962721861067843E-3</v>
      </c>
      <c r="S24">
        <f>(0.147*(C24+F24)-0.236*(O24+R24 -0.375))*$C$8</f>
        <v>2.254571643382719E-3</v>
      </c>
      <c r="T24">
        <f>(1/6)*(P24 +2*Q24+2*R24+S24)</f>
        <v>1.8633425917470314E-3</v>
      </c>
    </row>
    <row r="25" spans="1:20" x14ac:dyDescent="0.25">
      <c r="A25">
        <f t="shared" ref="A25:A88" si="0">A24+$C$8</f>
        <v>0.2</v>
      </c>
      <c r="B25">
        <f>(1/(1-$A$8))*EXP(0.0768*$A$8*A25/(1-$A$8))-($A$8/(1-$A$8))*EXP(-1000*$B$8*(1-$A$8)*A25)</f>
        <v>1.1664455573181183</v>
      </c>
      <c r="C25">
        <f t="shared" ref="C25:C88" si="1">C24+H24</f>
        <v>1.1587869889230971</v>
      </c>
      <c r="D25">
        <f t="shared" ref="D25:D88" si="2">(1000*($B$8*($A$8-1)-$D$8*0.02*(O25-1))*C25+6.5*I25)*$C$8</f>
        <v>4.2294495740623099E-2</v>
      </c>
      <c r="E25">
        <f t="shared" ref="E25:E88" si="3">(1000*($B$8*($A$8-1)-$D$8*0.02*(O25+P25/2-1))*(C25+D25/2)+6.5*(I25+J25/2))*$C$8</f>
        <v>2.8956178643399701E-2</v>
      </c>
      <c r="F25">
        <f t="shared" ref="F25:F88" si="4">(1000*($B$8*($A$8-1)-$D$8*0.02*(O25+Q25/2-1))*(C25+E25/2)+6.5*(I25+K25/2))*$C$8</f>
        <v>3.2190991706418974E-2</v>
      </c>
      <c r="G25">
        <f t="shared" ref="G25:G88" si="5">(1000*($B$8*($A$8-1)-$D$8*0.02*(O25+R25-1))*(C25+F25)+6.5*(I25+L25))*$C$8</f>
        <v>2.0507605823623098E-2</v>
      </c>
      <c r="H25">
        <f t="shared" ref="H25:H88" si="6">(1/6)*(D25+2*E25+2*F25+G25)</f>
        <v>3.0849407043980592E-2</v>
      </c>
      <c r="I25">
        <f t="shared" ref="I25:I88" si="7">I24+N24</f>
        <v>1.0014289828349014</v>
      </c>
      <c r="J25">
        <f t="shared" ref="J25:J88" si="8">0.0765*(C25-I25)*$C$8</f>
        <v>1.2037887465746965E-3</v>
      </c>
      <c r="K25">
        <f t="shared" ref="K25:K88" si="9">0.0765*((C25+D25/2)-(I25+J25/2))*$C$8</f>
        <v>1.3609607008269328E-3</v>
      </c>
      <c r="L25">
        <f t="shared" ref="L25:L88" si="10">0.0765*((C25+E25/2)-(I25+K25/2))*$C$8</f>
        <v>1.3093404552050371E-3</v>
      </c>
      <c r="M25">
        <f t="shared" ref="M25:M88" si="11">0.0765*((C25+F25)-(I25+L25))*$C$8</f>
        <v>1.4400333786464819E-3</v>
      </c>
      <c r="N25">
        <f t="shared" ref="N25:N88" si="12">(1/6)*(J25+2*K25+2*L25+M25)</f>
        <v>1.3307374062141862E-3</v>
      </c>
      <c r="O25" s="1">
        <f t="shared" ref="O25:O88" si="13">O24+T24</f>
        <v>1.0026170076640613</v>
      </c>
      <c r="P25">
        <f t="shared" ref="P25:P88" si="14">(0.147*(C25)-0.236*(O25-0.375))*$C$8</f>
        <v>2.2224073562976815E-3</v>
      </c>
      <c r="Q25">
        <f t="shared" ref="Q25:Q88" si="15">(0.147*(C25+D25/2)-0.236*(O25+P25/2 -0.375))*$C$8</f>
        <v>2.507047493186948E-3</v>
      </c>
      <c r="R25">
        <f t="shared" ref="R25:R88" si="16">(0.147*(C25+E25/2)-0.236*(O25+Q25/2 -0.375))*$C$8</f>
        <v>2.4056521089070638E-3</v>
      </c>
      <c r="S25">
        <f t="shared" ref="S25:S88" si="17">(0.147*(C25+F25)-0.236*(O25+R25 -0.375))*$C$8</f>
        <v>2.6388415446118307E-3</v>
      </c>
      <c r="T25">
        <f t="shared" ref="T25:T88" si="18">(1/6)*(P25 +2*Q25+2*R25+S25)</f>
        <v>2.4477746841829223E-3</v>
      </c>
    </row>
    <row r="26" spans="1:20" x14ac:dyDescent="0.25">
      <c r="A26">
        <f t="shared" si="0"/>
        <v>0.30000000000000004</v>
      </c>
      <c r="B26">
        <f t="shared" ref="B26:B88" si="19">(1/(1-$A$8))*EXP(0.0768*$A$8*A26/(1-$A$8))-($A$8/(1-$A$8))*EXP(-1000*$B$8*(1-$A$8)*A26)</f>
        <v>1.2046867580703258</v>
      </c>
      <c r="C26">
        <f t="shared" si="1"/>
        <v>1.1896363959670777</v>
      </c>
      <c r="D26">
        <f t="shared" si="2"/>
        <v>2.1132393415599006E-2</v>
      </c>
      <c r="E26">
        <f t="shared" si="3"/>
        <v>1.2853280487481113E-2</v>
      </c>
      <c r="F26">
        <f t="shared" si="4"/>
        <v>1.4934287491494037E-2</v>
      </c>
      <c r="G26">
        <f t="shared" si="5"/>
        <v>7.7156786016542968E-3</v>
      </c>
      <c r="H26">
        <f t="shared" si="6"/>
        <v>1.4070534662533933E-2</v>
      </c>
      <c r="I26">
        <f t="shared" si="7"/>
        <v>1.0027597202411156</v>
      </c>
      <c r="J26">
        <f t="shared" si="8"/>
        <v>1.4296065693036103E-3</v>
      </c>
      <c r="K26">
        <f t="shared" si="9"/>
        <v>1.50496972899069E-3</v>
      </c>
      <c r="L26">
        <f t="shared" si="10"/>
        <v>1.4730138579548361E-3</v>
      </c>
      <c r="M26">
        <f t="shared" si="11"/>
        <v>1.5325853126001844E-3</v>
      </c>
      <c r="N26">
        <f t="shared" si="12"/>
        <v>1.4863598426324742E-3</v>
      </c>
      <c r="O26" s="1">
        <f t="shared" si="13"/>
        <v>1.0050647823482441</v>
      </c>
      <c r="P26">
        <f t="shared" si="14"/>
        <v>2.618126157297482E-3</v>
      </c>
      <c r="Q26">
        <f t="shared" si="15"/>
        <v>2.7425553602460212E-3</v>
      </c>
      <c r="R26">
        <f t="shared" si="16"/>
        <v>2.6802356156295673E-3</v>
      </c>
      <c r="S26">
        <f t="shared" si="17"/>
        <v>2.7744066228935858E-3</v>
      </c>
      <c r="T26">
        <f t="shared" si="18"/>
        <v>2.706352455323708E-3</v>
      </c>
    </row>
    <row r="27" spans="1:20" x14ac:dyDescent="0.25">
      <c r="A27">
        <f t="shared" si="0"/>
        <v>0.4</v>
      </c>
      <c r="B27">
        <f t="shared" si="19"/>
        <v>1.2284044055036671</v>
      </c>
      <c r="C27">
        <f t="shared" si="1"/>
        <v>1.2037069306296115</v>
      </c>
      <c r="D27">
        <f t="shared" si="2"/>
        <v>8.1240104832152049E-3</v>
      </c>
      <c r="E27">
        <f t="shared" si="3"/>
        <v>3.1097820427489434E-3</v>
      </c>
      <c r="F27">
        <f t="shared" si="4"/>
        <v>4.434872914284238E-3</v>
      </c>
      <c r="G27">
        <f t="shared" si="5"/>
        <v>9.7328398266860464E-5</v>
      </c>
      <c r="H27">
        <f t="shared" si="6"/>
        <v>3.8851081325914048E-3</v>
      </c>
      <c r="I27">
        <f t="shared" si="7"/>
        <v>1.004246080083748</v>
      </c>
      <c r="J27">
        <f t="shared" si="8"/>
        <v>1.5258755066758557E-3</v>
      </c>
      <c r="K27">
        <f t="shared" si="9"/>
        <v>1.5511133729611179E-3</v>
      </c>
      <c r="L27">
        <f t="shared" si="10"/>
        <v>1.5318374143377938E-3</v>
      </c>
      <c r="M27">
        <f t="shared" si="11"/>
        <v>1.5480837282504459E-3</v>
      </c>
      <c r="N27">
        <f t="shared" si="12"/>
        <v>1.5399768015873542E-3</v>
      </c>
      <c r="O27" s="1">
        <f t="shared" si="13"/>
        <v>1.0077711348035678</v>
      </c>
      <c r="P27">
        <f t="shared" si="14"/>
        <v>2.7610930988910907E-3</v>
      </c>
      <c r="Q27">
        <f t="shared" si="15"/>
        <v>2.7882236773758007E-3</v>
      </c>
      <c r="R27">
        <f t="shared" si="16"/>
        <v>2.751048957512256E-3</v>
      </c>
      <c r="S27">
        <f t="shared" si="17"/>
        <v>2.7613609753337795E-3</v>
      </c>
      <c r="T27">
        <f t="shared" si="18"/>
        <v>2.7668332240001637E-3</v>
      </c>
    </row>
    <row r="28" spans="1:20" x14ac:dyDescent="0.25">
      <c r="A28">
        <f t="shared" si="0"/>
        <v>0.5</v>
      </c>
      <c r="B28">
        <f t="shared" si="19"/>
        <v>1.2434893902096351</v>
      </c>
      <c r="C28">
        <f t="shared" si="1"/>
        <v>1.207592038762203</v>
      </c>
      <c r="D28">
        <f t="shared" si="2"/>
        <v>3.6194422947914977E-4</v>
      </c>
      <c r="E28">
        <f t="shared" si="3"/>
        <v>-2.5591219891531129E-3</v>
      </c>
      <c r="F28">
        <f t="shared" si="4"/>
        <v>-1.7303340948731539E-3</v>
      </c>
      <c r="G28">
        <f t="shared" si="5"/>
        <v>-4.2249153152281952E-3</v>
      </c>
      <c r="H28">
        <f t="shared" si="6"/>
        <v>-2.0736472089669298E-3</v>
      </c>
      <c r="I28">
        <f t="shared" si="7"/>
        <v>1.0057860568853354</v>
      </c>
      <c r="J28">
        <f t="shared" si="8"/>
        <v>1.5438157613580372E-3</v>
      </c>
      <c r="K28">
        <f t="shared" si="9"/>
        <v>1.5392951027486017E-3</v>
      </c>
      <c r="L28">
        <f t="shared" si="10"/>
        <v>1.5281393159815126E-3</v>
      </c>
      <c r="M28">
        <f t="shared" si="11"/>
        <v>1.5188884397649986E-3</v>
      </c>
      <c r="N28">
        <f t="shared" si="12"/>
        <v>1.5329288397638772E-3</v>
      </c>
      <c r="O28" s="1">
        <f t="shared" si="13"/>
        <v>1.0105379680275679</v>
      </c>
      <c r="P28">
        <f t="shared" si="14"/>
        <v>2.7529069243537822E-3</v>
      </c>
      <c r="Q28">
        <f t="shared" si="15"/>
        <v>2.72308291273308E-3</v>
      </c>
      <c r="R28">
        <f t="shared" si="16"/>
        <v>2.7019649993632548E-3</v>
      </c>
      <c r="S28">
        <f t="shared" si="17"/>
        <v>2.6637046391741778E-3</v>
      </c>
      <c r="T28">
        <f t="shared" si="18"/>
        <v>2.711117897953438E-3</v>
      </c>
    </row>
    <row r="29" spans="1:20" x14ac:dyDescent="0.25">
      <c r="A29">
        <f t="shared" si="0"/>
        <v>0.6</v>
      </c>
      <c r="B29">
        <f t="shared" si="19"/>
        <v>1.2534439713194487</v>
      </c>
      <c r="C29">
        <f t="shared" si="1"/>
        <v>1.2055183915532361</v>
      </c>
      <c r="D29">
        <f t="shared" si="2"/>
        <v>-4.0562563953386649E-3</v>
      </c>
      <c r="E29">
        <f t="shared" si="3"/>
        <v>-5.6545237463253356E-3</v>
      </c>
      <c r="F29">
        <f t="shared" si="4"/>
        <v>-5.1490171238725681E-3</v>
      </c>
      <c r="G29">
        <f t="shared" si="5"/>
        <v>-6.4834277215791054E-3</v>
      </c>
      <c r="H29">
        <f t="shared" si="6"/>
        <v>-5.3577943095522622E-3</v>
      </c>
      <c r="I29">
        <f t="shared" si="7"/>
        <v>1.0073189857250993</v>
      </c>
      <c r="J29">
        <f t="shared" si="8"/>
        <v>1.5162254545852472E-3</v>
      </c>
      <c r="K29">
        <f t="shared" si="9"/>
        <v>1.4949107115092885E-3</v>
      </c>
      <c r="L29">
        <f t="shared" si="10"/>
        <v>1.4888788677840297E-3</v>
      </c>
      <c r="M29">
        <f t="shared" si="11"/>
        <v>1.4654455502490739E-3</v>
      </c>
      <c r="N29">
        <f t="shared" si="12"/>
        <v>1.4915416939034927E-3</v>
      </c>
      <c r="O29" s="1">
        <f t="shared" si="13"/>
        <v>1.0132490859255214</v>
      </c>
      <c r="P29">
        <f t="shared" si="14"/>
        <v>2.6584419279902655E-3</v>
      </c>
      <c r="Q29">
        <f t="shared" si="15"/>
        <v>2.5972588287342391E-3</v>
      </c>
      <c r="R29">
        <f t="shared" si="16"/>
        <v>2.5862335242757108E-3</v>
      </c>
      <c r="S29">
        <f t="shared" si="17"/>
        <v>2.5217162650964329E-3</v>
      </c>
      <c r="T29">
        <f t="shared" si="18"/>
        <v>2.5911904831844327E-3</v>
      </c>
    </row>
    <row r="30" spans="1:20" x14ac:dyDescent="0.25">
      <c r="A30">
        <f t="shared" si="0"/>
        <v>0.7</v>
      </c>
      <c r="B30">
        <f t="shared" si="19"/>
        <v>1.2603503174866371</v>
      </c>
      <c r="C30">
        <f t="shared" si="1"/>
        <v>1.200160597243684</v>
      </c>
      <c r="D30">
        <f t="shared" si="2"/>
        <v>-6.3784189347185112E-3</v>
      </c>
      <c r="E30">
        <f t="shared" si="3"/>
        <v>-7.1578586375777853E-3</v>
      </c>
      <c r="F30">
        <f t="shared" si="4"/>
        <v>-6.8599669474513902E-3</v>
      </c>
      <c r="G30">
        <f t="shared" si="5"/>
        <v>-7.4801798311264992E-3</v>
      </c>
      <c r="H30">
        <f t="shared" si="6"/>
        <v>-6.9823749893172258E-3</v>
      </c>
      <c r="I30">
        <f t="shared" si="7"/>
        <v>1.0088105274190027</v>
      </c>
      <c r="J30">
        <f t="shared" si="8"/>
        <v>1.4638280341588118E-3</v>
      </c>
      <c r="K30">
        <f t="shared" si="9"/>
        <v>1.4338314395028555E-3</v>
      </c>
      <c r="L30">
        <f t="shared" si="10"/>
        <v>1.4309648196139777E-3</v>
      </c>
      <c r="M30">
        <f t="shared" si="11"/>
        <v>1.4004024061407615E-3</v>
      </c>
      <c r="N30">
        <f t="shared" si="12"/>
        <v>1.4323038264222065E-3</v>
      </c>
      <c r="O30" s="1">
        <f t="shared" si="13"/>
        <v>1.0158402764087058</v>
      </c>
      <c r="P30">
        <f t="shared" si="14"/>
        <v>2.5185302562366983E-3</v>
      </c>
      <c r="Q30">
        <f t="shared" si="15"/>
        <v>2.4419302200429233E-3</v>
      </c>
      <c r="R30">
        <f t="shared" si="16"/>
        <v>2.4371052186539927E-3</v>
      </c>
      <c r="S30">
        <f t="shared" si="17"/>
        <v>2.3601730589489279E-3</v>
      </c>
      <c r="T30">
        <f t="shared" si="18"/>
        <v>2.4394623654299093E-3</v>
      </c>
    </row>
    <row r="31" spans="1:20" x14ac:dyDescent="0.25">
      <c r="A31">
        <f t="shared" si="0"/>
        <v>0.79999999999999993</v>
      </c>
      <c r="B31">
        <f t="shared" si="19"/>
        <v>1.2654463244027561</v>
      </c>
      <c r="C31">
        <f t="shared" si="1"/>
        <v>1.1931782222543668</v>
      </c>
      <c r="D31">
        <f t="shared" si="2"/>
        <v>-7.4168076903391444E-3</v>
      </c>
      <c r="E31">
        <f t="shared" si="3"/>
        <v>-7.7031853891946335E-3</v>
      </c>
      <c r="F31">
        <f t="shared" si="4"/>
        <v>-7.5361831467888329E-3</v>
      </c>
      <c r="G31">
        <f t="shared" si="5"/>
        <v>-7.7296741235159949E-3</v>
      </c>
      <c r="H31">
        <f t="shared" si="6"/>
        <v>-7.6042031476370115E-3</v>
      </c>
      <c r="I31">
        <f t="shared" si="7"/>
        <v>1.0102428312454248</v>
      </c>
      <c r="J31">
        <f t="shared" si="8"/>
        <v>1.3994557412184061E-3</v>
      </c>
      <c r="K31">
        <f t="shared" si="9"/>
        <v>1.3657335335926989E-3</v>
      </c>
      <c r="L31">
        <f t="shared" si="10"/>
        <v>1.3647671263387448E-3</v>
      </c>
      <c r="M31">
        <f t="shared" si="11"/>
        <v>1.3313634716289795E-3</v>
      </c>
      <c r="N31">
        <f t="shared" si="12"/>
        <v>1.3653034221183789E-3</v>
      </c>
      <c r="O31" s="1">
        <f t="shared" si="13"/>
        <v>1.0182797387741356</v>
      </c>
      <c r="P31">
        <f t="shared" si="14"/>
        <v>2.3583180320695899E-3</v>
      </c>
      <c r="Q31">
        <f t="shared" si="15"/>
        <v>2.2759763427671748E-3</v>
      </c>
      <c r="R31">
        <f t="shared" si="16"/>
        <v>2.2748430986143597E-3</v>
      </c>
      <c r="S31">
        <f t="shared" si="17"/>
        <v>2.1938498426844976E-3</v>
      </c>
      <c r="T31">
        <f t="shared" si="18"/>
        <v>2.2756344595861924E-3</v>
      </c>
    </row>
    <row r="32" spans="1:20" x14ac:dyDescent="0.25">
      <c r="A32">
        <f t="shared" si="0"/>
        <v>0.89999999999999991</v>
      </c>
      <c r="B32">
        <f t="shared" si="19"/>
        <v>1.2694679501423713</v>
      </c>
      <c r="C32">
        <f t="shared" si="1"/>
        <v>1.1855740191067297</v>
      </c>
      <c r="D32">
        <f t="shared" si="2"/>
        <v>-7.693035319481201E-3</v>
      </c>
      <c r="E32">
        <f t="shared" si="3"/>
        <v>-7.6935192647458635E-3</v>
      </c>
      <c r="F32">
        <f t="shared" si="4"/>
        <v>-7.6072037271383234E-3</v>
      </c>
      <c r="G32">
        <f t="shared" si="5"/>
        <v>-7.5561308000684953E-3</v>
      </c>
      <c r="H32">
        <f t="shared" si="6"/>
        <v>-7.6417686838863436E-3</v>
      </c>
      <c r="I32">
        <f t="shared" si="7"/>
        <v>1.0116081346675432</v>
      </c>
      <c r="J32">
        <f t="shared" si="8"/>
        <v>1.3308390159597766E-3</v>
      </c>
      <c r="K32">
        <f t="shared" si="9"/>
        <v>1.296322696626715E-3</v>
      </c>
      <c r="L32">
        <f t="shared" si="10"/>
        <v>1.2964528704575257E-3</v>
      </c>
      <c r="M32">
        <f t="shared" si="11"/>
        <v>1.2627260429881675E-3</v>
      </c>
      <c r="N32">
        <f t="shared" si="12"/>
        <v>1.2965193655194041E-3</v>
      </c>
      <c r="O32" s="1">
        <f t="shared" si="13"/>
        <v>1.0205553732337218</v>
      </c>
      <c r="P32">
        <f t="shared" si="14"/>
        <v>2.1928312725530892E-3</v>
      </c>
      <c r="Q32">
        <f t="shared" si="15"/>
        <v>2.1104120539387791E-3</v>
      </c>
      <c r="R32">
        <f t="shared" si="16"/>
        <v>2.1113810437207309E-3</v>
      </c>
      <c r="S32">
        <f t="shared" si="17"/>
        <v>2.0311767851323467E-3</v>
      </c>
      <c r="T32">
        <f t="shared" si="18"/>
        <v>2.1112657088340758E-3</v>
      </c>
    </row>
    <row r="33" spans="1:20" x14ac:dyDescent="0.25">
      <c r="A33">
        <f t="shared" si="0"/>
        <v>0.99999999999999989</v>
      </c>
      <c r="B33">
        <f t="shared" si="19"/>
        <v>1.2728527405599641</v>
      </c>
      <c r="C33">
        <f t="shared" si="1"/>
        <v>1.1779322504228433</v>
      </c>
      <c r="D33">
        <f>(1000*($B$8*($A$8-1)-$D$8*0.02*(O33-1))*C33+6.5*I33)*$C$8</f>
        <v>-7.5362751366413686E-3</v>
      </c>
      <c r="E33">
        <f t="shared" si="3"/>
        <v>-7.3800631975265325E-3</v>
      </c>
      <c r="F33">
        <f t="shared" si="4"/>
        <v>-7.3421353553595921E-3</v>
      </c>
      <c r="G33">
        <f t="shared" si="5"/>
        <v>-7.1595928172126129E-3</v>
      </c>
      <c r="H33">
        <f t="shared" si="6"/>
        <v>-7.3567108432710387E-3</v>
      </c>
      <c r="I33">
        <f t="shared" si="7"/>
        <v>1.0129046540330626</v>
      </c>
      <c r="J33">
        <f t="shared" si="8"/>
        <v>1.2624611123818225E-3</v>
      </c>
      <c r="K33">
        <f t="shared" si="9"/>
        <v>1.2288059462293088E-3</v>
      </c>
      <c r="L33">
        <f t="shared" si="10"/>
        <v>1.2295321879069567E-3</v>
      </c>
      <c r="M33">
        <f t="shared" si="11"/>
        <v>1.1968878556758334E-3</v>
      </c>
      <c r="N33">
        <f t="shared" si="12"/>
        <v>1.2293375393883643E-3</v>
      </c>
      <c r="O33" s="1">
        <f t="shared" si="13"/>
        <v>1.0226666389425558</v>
      </c>
      <c r="P33">
        <f t="shared" si="14"/>
        <v>2.0306714021714801E-3</v>
      </c>
      <c r="Q33">
        <f t="shared" si="15"/>
        <v>1.9513178573715402E-3</v>
      </c>
      <c r="R33">
        <f t="shared" si="16"/>
        <v>1.9534023869526742E-3</v>
      </c>
      <c r="S33">
        <f t="shared" si="17"/>
        <v>1.8766417161156096E-3</v>
      </c>
      <c r="T33">
        <f t="shared" si="18"/>
        <v>1.9527922678225864E-3</v>
      </c>
    </row>
    <row r="34" spans="1:20" x14ac:dyDescent="0.25">
      <c r="A34">
        <f t="shared" si="0"/>
        <v>1.0999999999999999</v>
      </c>
      <c r="B34">
        <f t="shared" si="19"/>
        <v>1.2758608293204368</v>
      </c>
      <c r="C34" s="2">
        <f>C33+H33</f>
        <v>1.1705755395795723</v>
      </c>
      <c r="D34">
        <f t="shared" si="2"/>
        <v>-7.1499940057462297E-3</v>
      </c>
      <c r="E34">
        <f t="shared" si="3"/>
        <v>-6.9158226431365937E-3</v>
      </c>
      <c r="F34">
        <f t="shared" si="4"/>
        <v>-6.9058909159179123E-3</v>
      </c>
      <c r="G34">
        <f t="shared" si="5"/>
        <v>-6.6604120159880157E-3</v>
      </c>
      <c r="H34">
        <f t="shared" si="6"/>
        <v>-6.9089721899738762E-3</v>
      </c>
      <c r="I34">
        <f t="shared" si="7"/>
        <v>1.014133991572451</v>
      </c>
      <c r="J34">
        <f t="shared" si="8"/>
        <v>1.196777842254478E-3</v>
      </c>
      <c r="K34">
        <f t="shared" si="9"/>
        <v>1.1648514399358757E-3</v>
      </c>
      <c r="L34">
        <f t="shared" si="10"/>
        <v>1.1658692638867253E-3</v>
      </c>
      <c r="M34">
        <f t="shared" si="11"/>
        <v>1.1350288768789726E-3</v>
      </c>
      <c r="N34">
        <f t="shared" si="12"/>
        <v>1.1655413544631088E-3</v>
      </c>
      <c r="O34" s="1">
        <f t="shared" si="13"/>
        <v>1.0246194312103785</v>
      </c>
      <c r="P34">
        <f t="shared" si="14"/>
        <v>1.8764418552547819E-3</v>
      </c>
      <c r="Q34">
        <f t="shared" si="15"/>
        <v>1.801747385420538E-3</v>
      </c>
      <c r="R34">
        <f t="shared" si="16"/>
        <v>1.8043499396797641E-3</v>
      </c>
      <c r="S34">
        <f t="shared" si="17"/>
        <v>1.7323426002143457E-3</v>
      </c>
      <c r="T34">
        <f t="shared" si="18"/>
        <v>1.8034965176116219E-3</v>
      </c>
    </row>
    <row r="35" spans="1:20" x14ac:dyDescent="0.25">
      <c r="A35">
        <f t="shared" si="0"/>
        <v>1.2</v>
      </c>
      <c r="B35">
        <f t="shared" si="19"/>
        <v>1.278646874903568</v>
      </c>
      <c r="C35">
        <f t="shared" si="1"/>
        <v>1.1636665673895985</v>
      </c>
      <c r="D35">
        <f t="shared" si="2"/>
        <v>-6.6568738593245419E-3</v>
      </c>
      <c r="E35">
        <f t="shared" si="3"/>
        <v>-6.3913890065290246E-3</v>
      </c>
      <c r="F35">
        <f t="shared" si="4"/>
        <v>-6.3968450583761442E-3</v>
      </c>
      <c r="G35">
        <f t="shared" si="5"/>
        <v>-6.1287209031453578E-3</v>
      </c>
      <c r="H35">
        <f t="shared" si="6"/>
        <v>-6.3936771487133727E-3</v>
      </c>
      <c r="I35">
        <f t="shared" si="7"/>
        <v>1.0152995329269141</v>
      </c>
      <c r="J35">
        <f t="shared" si="8"/>
        <v>1.1350078136395357E-3</v>
      </c>
      <c r="K35">
        <f t="shared" si="9"/>
        <v>1.105203866240448E-3</v>
      </c>
      <c r="L35">
        <f t="shared" si="10"/>
        <v>1.1063333459011932E-3</v>
      </c>
      <c r="M35">
        <f t="shared" si="11"/>
        <v>1.0776084988468135E-3</v>
      </c>
      <c r="N35">
        <f t="shared" si="12"/>
        <v>1.1059484561282719E-3</v>
      </c>
      <c r="O35" s="1">
        <f t="shared" si="13"/>
        <v>1.0264229277279902</v>
      </c>
      <c r="P35">
        <f t="shared" si="14"/>
        <v>1.7323174462465286E-3</v>
      </c>
      <c r="Q35">
        <f t="shared" si="15"/>
        <v>1.6629480775147865E-3</v>
      </c>
      <c r="R35">
        <f t="shared" si="16"/>
        <v>1.6657179497338666E-3</v>
      </c>
      <c r="S35">
        <f t="shared" si="17"/>
        <v>1.5989728802746767E-3</v>
      </c>
      <c r="T35">
        <f t="shared" si="18"/>
        <v>1.6647703968364184E-3</v>
      </c>
    </row>
    <row r="36" spans="1:20" x14ac:dyDescent="0.25">
      <c r="A36">
        <f t="shared" si="0"/>
        <v>1.3</v>
      </c>
      <c r="B36">
        <f t="shared" si="19"/>
        <v>1.281302828631335</v>
      </c>
      <c r="C36">
        <f t="shared" si="1"/>
        <v>1.1572728902408851</v>
      </c>
      <c r="D36">
        <f t="shared" si="2"/>
        <v>-6.1286032045458688E-3</v>
      </c>
      <c r="E36">
        <f t="shared" si="3"/>
        <v>-5.8584242109668066E-3</v>
      </c>
      <c r="F36">
        <f t="shared" si="4"/>
        <v>-5.8716550872870421E-3</v>
      </c>
      <c r="G36">
        <f t="shared" si="5"/>
        <v>-5.6036190275381877E-3</v>
      </c>
      <c r="H36">
        <f t="shared" si="6"/>
        <v>-5.8653968047652919E-3</v>
      </c>
      <c r="I36">
        <f t="shared" si="7"/>
        <v>1.0164054813830423</v>
      </c>
      <c r="J36">
        <f t="shared" si="8"/>
        <v>1.0776356777624973E-3</v>
      </c>
      <c r="K36">
        <f t="shared" si="9"/>
        <v>1.0500718140376683E-3</v>
      </c>
      <c r="L36">
        <f t="shared" si="10"/>
        <v>1.0512106804668557E-3</v>
      </c>
      <c r="M36">
        <f t="shared" si="11"/>
        <v>1.0246757546391806E-3</v>
      </c>
      <c r="N36">
        <f t="shared" si="12"/>
        <v>1.0508127369017873E-3</v>
      </c>
      <c r="O36" s="1">
        <f t="shared" si="13"/>
        <v>1.0280876981248266</v>
      </c>
      <c r="P36">
        <f t="shared" si="14"/>
        <v>1.5990418107951017E-3</v>
      </c>
      <c r="Q36">
        <f t="shared" si="15"/>
        <v>1.53512788387431E-3</v>
      </c>
      <c r="R36">
        <f t="shared" si="16"/>
        <v>1.537867883814781E-3</v>
      </c>
      <c r="S36">
        <f t="shared" si="17"/>
        <v>1.4764347989539572E-3</v>
      </c>
      <c r="T36">
        <f t="shared" si="18"/>
        <v>1.5369113575212066E-3</v>
      </c>
    </row>
    <row r="37" spans="1:20" x14ac:dyDescent="0.25">
      <c r="A37">
        <f t="shared" si="0"/>
        <v>1.4000000000000001</v>
      </c>
      <c r="B37">
        <f t="shared" si="19"/>
        <v>1.2838833611389644</v>
      </c>
      <c r="C37">
        <f t="shared" si="1"/>
        <v>1.1514074934361198</v>
      </c>
      <c r="D37">
        <f t="shared" si="2"/>
        <v>-5.6053001050066168E-3</v>
      </c>
      <c r="E37">
        <f t="shared" si="3"/>
        <v>-5.3448028393271235E-3</v>
      </c>
      <c r="F37">
        <f t="shared" si="4"/>
        <v>-5.3613421064004465E-3</v>
      </c>
      <c r="G37">
        <f t="shared" si="5"/>
        <v>-5.1054416973147282E-3</v>
      </c>
      <c r="H37">
        <f t="shared" si="6"/>
        <v>-5.3538386156294134E-3</v>
      </c>
      <c r="I37">
        <f t="shared" si="7"/>
        <v>1.0174562941199441</v>
      </c>
      <c r="J37">
        <f t="shared" si="8"/>
        <v>1.0247266747687442E-3</v>
      </c>
      <c r="K37">
        <f t="shared" si="9"/>
        <v>9.9936682233610244E-4</v>
      </c>
      <c r="L37">
        <f t="shared" si="10"/>
        <v>1.0004602258128822E-3</v>
      </c>
      <c r="M37">
        <f t="shared" si="11"/>
        <v>9.7605888692731178E-4</v>
      </c>
      <c r="N37">
        <f t="shared" si="12"/>
        <v>1.0000732763323374E-3</v>
      </c>
      <c r="O37" s="1">
        <f t="shared" si="13"/>
        <v>1.0296246094823478</v>
      </c>
      <c r="P37">
        <f t="shared" si="14"/>
        <v>1.4765493697275534E-3</v>
      </c>
      <c r="Q37">
        <f t="shared" si="15"/>
        <v>1.4179271313929653E-3</v>
      </c>
      <c r="R37">
        <f t="shared" si="16"/>
        <v>1.4205335287080624E-3</v>
      </c>
      <c r="S37">
        <f t="shared" si="17"/>
        <v>1.3642130494859574E-3</v>
      </c>
      <c r="T37">
        <f t="shared" si="18"/>
        <v>1.4196139565692608E-3</v>
      </c>
    </row>
    <row r="38" spans="1:20" x14ac:dyDescent="0.25">
      <c r="A38">
        <f t="shared" si="0"/>
        <v>1.5000000000000002</v>
      </c>
      <c r="B38">
        <f t="shared" si="19"/>
        <v>1.2864209789344487</v>
      </c>
      <c r="C38">
        <f t="shared" si="1"/>
        <v>1.1460536548204905</v>
      </c>
      <c r="D38">
        <f t="shared" si="2"/>
        <v>-5.1079531655449095E-3</v>
      </c>
      <c r="E38">
        <f t="shared" si="3"/>
        <v>-4.8642022760285288E-3</v>
      </c>
      <c r="F38">
        <f t="shared" si="4"/>
        <v>-4.8815271278207289E-3</v>
      </c>
      <c r="G38">
        <f t="shared" si="5"/>
        <v>-4.6434653378527816E-3</v>
      </c>
      <c r="H38">
        <f t="shared" si="6"/>
        <v>-4.8738128851827005E-3</v>
      </c>
      <c r="I38">
        <f t="shared" si="7"/>
        <v>1.0184563673962765</v>
      </c>
      <c r="J38">
        <f t="shared" si="8"/>
        <v>9.761192487952367E-4</v>
      </c>
      <c r="K38">
        <f t="shared" si="9"/>
        <v>9.5284767181038526E-4</v>
      </c>
      <c r="L38">
        <f t="shared" si="10"/>
        <v>9.5386903274475351E-4</v>
      </c>
      <c r="M38">
        <f t="shared" si="11"/>
        <v>9.3147846816691064E-4</v>
      </c>
      <c r="N38">
        <f t="shared" si="12"/>
        <v>9.5350518767873746E-4</v>
      </c>
      <c r="O38" s="1">
        <f t="shared" si="13"/>
        <v>1.031044223438917</v>
      </c>
      <c r="P38">
        <f t="shared" si="14"/>
        <v>1.3643450527027674E-3</v>
      </c>
      <c r="Q38">
        <f t="shared" si="15"/>
        <v>1.3107023253141226E-3</v>
      </c>
      <c r="R38">
        <f t="shared" si="16"/>
        <v>1.3131268785352562E-3</v>
      </c>
      <c r="S38">
        <f t="shared" si="17"/>
        <v>1.2615968095903707E-3</v>
      </c>
      <c r="T38">
        <f t="shared" si="18"/>
        <v>1.3122667116653157E-3</v>
      </c>
    </row>
    <row r="39" spans="1:20" x14ac:dyDescent="0.25">
      <c r="A39">
        <f t="shared" si="0"/>
        <v>1.6000000000000003</v>
      </c>
      <c r="B39">
        <f t="shared" si="19"/>
        <v>1.2889350115038094</v>
      </c>
      <c r="C39">
        <f t="shared" si="1"/>
        <v>1.1411798419353079</v>
      </c>
      <c r="D39">
        <f t="shared" si="2"/>
        <v>-4.6462492580350732E-3</v>
      </c>
      <c r="E39">
        <f t="shared" si="3"/>
        <v>-4.42206781177692E-3</v>
      </c>
      <c r="F39">
        <f t="shared" si="4"/>
        <v>-4.4388308770645151E-3</v>
      </c>
      <c r="G39">
        <f t="shared" si="5"/>
        <v>-4.2206588839910353E-3</v>
      </c>
      <c r="H39">
        <f t="shared" si="6"/>
        <v>-4.4314509199514969E-3</v>
      </c>
      <c r="I39">
        <f t="shared" si="7"/>
        <v>1.0194098725839553</v>
      </c>
      <c r="J39">
        <f t="shared" si="8"/>
        <v>9.3154026553784693E-4</v>
      </c>
      <c r="K39">
        <f t="shared" si="9"/>
        <v>9.102052206101806E-4</v>
      </c>
      <c r="L39">
        <f t="shared" si="10"/>
        <v>9.111443211889665E-4</v>
      </c>
      <c r="M39">
        <f t="shared" si="11"/>
        <v>8.9061295527120908E-4</v>
      </c>
      <c r="N39">
        <f t="shared" si="12"/>
        <v>9.1080871740122494E-4</v>
      </c>
      <c r="O39" s="1">
        <f t="shared" si="13"/>
        <v>1.0323564901505824</v>
      </c>
      <c r="P39">
        <f t="shared" si="14"/>
        <v>1.2617305088952814E-3</v>
      </c>
      <c r="Q39">
        <f t="shared" si="15"/>
        <v>1.2126921568437589E-3</v>
      </c>
      <c r="R39">
        <f t="shared" si="16"/>
        <v>1.2149185430279652E-3</v>
      </c>
      <c r="S39">
        <f t="shared" si="17"/>
        <v>1.1678076173869763E-3</v>
      </c>
      <c r="T39">
        <f t="shared" si="18"/>
        <v>1.2141265876709508E-3</v>
      </c>
    </row>
    <row r="40" spans="1:20" x14ac:dyDescent="0.25">
      <c r="A40">
        <f t="shared" si="0"/>
        <v>1.7000000000000004</v>
      </c>
      <c r="B40">
        <f t="shared" si="19"/>
        <v>1.291436954329851</v>
      </c>
      <c r="C40">
        <f t="shared" si="1"/>
        <v>1.1367483910153564</v>
      </c>
      <c r="D40">
        <f t="shared" si="2"/>
        <v>-4.2234096073092255E-3</v>
      </c>
      <c r="E40">
        <f t="shared" si="3"/>
        <v>-4.0192539140071482E-3</v>
      </c>
      <c r="F40">
        <f t="shared" si="4"/>
        <v>-4.0348015098229167E-3</v>
      </c>
      <c r="G40">
        <f t="shared" si="5"/>
        <v>-3.8365571718580686E-3</v>
      </c>
      <c r="H40">
        <f t="shared" si="6"/>
        <v>-4.0280129378045693E-3</v>
      </c>
      <c r="I40">
        <f t="shared" si="7"/>
        <v>1.0203206813013566</v>
      </c>
      <c r="J40">
        <f t="shared" si="8"/>
        <v>8.9067197931209886E-4</v>
      </c>
      <c r="K40">
        <f t="shared" si="9"/>
        <v>8.7111061724327247E-4</v>
      </c>
      <c r="L40">
        <f t="shared" si="10"/>
        <v>8.7196633498006545E-4</v>
      </c>
      <c r="M40">
        <f t="shared" si="11"/>
        <v>8.531352052993566E-4</v>
      </c>
      <c r="N40">
        <f t="shared" si="12"/>
        <v>8.7166018150968837E-4</v>
      </c>
      <c r="O40" s="1">
        <f t="shared" si="13"/>
        <v>1.0335706167382535</v>
      </c>
      <c r="P40">
        <f t="shared" si="14"/>
        <v>1.1679347929029582E-3</v>
      </c>
      <c r="Q40">
        <f t="shared" si="15"/>
        <v>1.1231111017329849E-3</v>
      </c>
      <c r="R40">
        <f t="shared" si="16"/>
        <v>1.1251405656345554E-3</v>
      </c>
      <c r="S40">
        <f t="shared" si="17"/>
        <v>1.0820698933595857E-3</v>
      </c>
      <c r="T40">
        <f t="shared" si="18"/>
        <v>1.1244180034996041E-3</v>
      </c>
    </row>
    <row r="41" spans="1:20" x14ac:dyDescent="0.25">
      <c r="A41">
        <f t="shared" si="0"/>
        <v>1.8000000000000005</v>
      </c>
      <c r="B41">
        <f t="shared" si="19"/>
        <v>1.2939336454266182</v>
      </c>
      <c r="C41">
        <f t="shared" si="1"/>
        <v>1.1327203780775519</v>
      </c>
      <c r="D41">
        <f t="shared" si="2"/>
        <v>-3.8391203766482643E-3</v>
      </c>
      <c r="E41">
        <f t="shared" si="3"/>
        <v>-3.6542017311429476E-3</v>
      </c>
      <c r="F41">
        <f t="shared" si="4"/>
        <v>-3.668277218442029E-3</v>
      </c>
      <c r="G41">
        <f t="shared" si="5"/>
        <v>-3.488960907338523E-3</v>
      </c>
      <c r="H41">
        <f t="shared" si="6"/>
        <v>-3.6621731971927898E-3</v>
      </c>
      <c r="I41">
        <f t="shared" si="7"/>
        <v>1.0211923414828663</v>
      </c>
      <c r="J41">
        <f t="shared" si="8"/>
        <v>8.5318947994934477E-4</v>
      </c>
      <c r="K41">
        <f t="shared" si="9"/>
        <v>8.3524139474785866E-4</v>
      </c>
      <c r="L41">
        <f t="shared" si="10"/>
        <v>8.36017359992813E-4</v>
      </c>
      <c r="M41">
        <f t="shared" si="11"/>
        <v>8.1873162642431829E-4</v>
      </c>
      <c r="N41">
        <f t="shared" si="12"/>
        <v>8.3573976930916764E-4</v>
      </c>
      <c r="O41" s="1">
        <f t="shared" si="13"/>
        <v>1.034695034741753</v>
      </c>
      <c r="P41">
        <f t="shared" si="14"/>
        <v>1.0821867378346423E-3</v>
      </c>
      <c r="Q41">
        <f t="shared" si="15"/>
        <v>1.041199399559828E-3</v>
      </c>
      <c r="R41">
        <f t="shared" si="16"/>
        <v>1.0430422021959346E-3</v>
      </c>
      <c r="S41">
        <f t="shared" si="17"/>
        <v>1.0036472667517228E-3</v>
      </c>
      <c r="T41">
        <f t="shared" si="18"/>
        <v>1.0423862013496483E-3</v>
      </c>
    </row>
    <row r="42" spans="1:20" x14ac:dyDescent="0.25">
      <c r="A42">
        <f t="shared" si="0"/>
        <v>1.9000000000000006</v>
      </c>
      <c r="B42">
        <f t="shared" si="19"/>
        <v>1.2964291538544115</v>
      </c>
      <c r="C42">
        <f t="shared" si="1"/>
        <v>1.129058204880359</v>
      </c>
      <c r="D42">
        <f t="shared" si="2"/>
        <v>-3.49127039801882E-3</v>
      </c>
      <c r="E42">
        <f t="shared" si="3"/>
        <v>-3.3242102345398374E-3</v>
      </c>
      <c r="F42">
        <f t="shared" si="4"/>
        <v>-3.3367748296675437E-3</v>
      </c>
      <c r="G42">
        <f t="shared" si="5"/>
        <v>-3.1749159160397336E-3</v>
      </c>
      <c r="H42">
        <f t="shared" si="6"/>
        <v>-3.3313594070788861E-3</v>
      </c>
      <c r="I42">
        <f t="shared" si="7"/>
        <v>1.0220280812521754</v>
      </c>
      <c r="J42">
        <f t="shared" si="8"/>
        <v>8.1878044575560492E-4</v>
      </c>
      <c r="K42">
        <f t="shared" si="9"/>
        <v>8.0229450127816638E-4</v>
      </c>
      <c r="L42">
        <f t="shared" si="10"/>
        <v>8.0299656514110161E-4</v>
      </c>
      <c r="M42">
        <f t="shared" si="11"/>
        <v>7.8711119458531927E-4</v>
      </c>
      <c r="N42">
        <f t="shared" si="12"/>
        <v>8.0274562886324338E-4</v>
      </c>
      <c r="O42" s="1">
        <f t="shared" si="13"/>
        <v>1.0357374209431025</v>
      </c>
      <c r="P42">
        <f t="shared" si="14"/>
        <v>1.0037524774840574E-3</v>
      </c>
      <c r="Q42">
        <f t="shared" si="15"/>
        <v>9.662473608243044E-4</v>
      </c>
      <c r="R42">
        <f t="shared" si="16"/>
        <v>9.6791781340246354E-4</v>
      </c>
      <c r="S42">
        <f t="shared" si="17"/>
        <v>9.3185902709164441E-4</v>
      </c>
      <c r="T42">
        <f t="shared" si="18"/>
        <v>9.6732364217153954E-4</v>
      </c>
    </row>
    <row r="43" spans="1:20" x14ac:dyDescent="0.25">
      <c r="A43">
        <f t="shared" si="0"/>
        <v>2.0000000000000004</v>
      </c>
      <c r="B43">
        <f t="shared" si="19"/>
        <v>1.298925902480784</v>
      </c>
      <c r="C43">
        <f t="shared" si="1"/>
        <v>1.1257268454732801</v>
      </c>
      <c r="D43">
        <f t="shared" si="2"/>
        <v>-3.1769548451961783E-3</v>
      </c>
      <c r="E43">
        <f t="shared" si="3"/>
        <v>-3.0261557811598117E-3</v>
      </c>
      <c r="F43">
        <f t="shared" si="4"/>
        <v>-3.037282619570281E-3</v>
      </c>
      <c r="G43">
        <f t="shared" si="5"/>
        <v>-2.89125750777961E-3</v>
      </c>
      <c r="H43">
        <f t="shared" si="6"/>
        <v>-3.0325148590726624E-3</v>
      </c>
      <c r="I43">
        <f t="shared" si="7"/>
        <v>1.0228308268810387</v>
      </c>
      <c r="J43">
        <f t="shared" si="8"/>
        <v>7.8715454223064665E-4</v>
      </c>
      <c r="K43">
        <f t="shared" si="9"/>
        <v>7.7199182382374021E-4</v>
      </c>
      <c r="L43">
        <f t="shared" si="10"/>
        <v>7.7262662764158475E-4</v>
      </c>
      <c r="M43">
        <f t="shared" si="11"/>
        <v>7.5800873648947554E-4</v>
      </c>
      <c r="N43">
        <f t="shared" si="12"/>
        <v>7.7240003027512867E-4</v>
      </c>
      <c r="O43" s="1">
        <f t="shared" si="13"/>
        <v>1.036704744585274</v>
      </c>
      <c r="P43">
        <f t="shared" si="14"/>
        <v>9.3195265624475276E-4</v>
      </c>
      <c r="Q43">
        <f t="shared" si="15"/>
        <v>8.9760499678887278E-4</v>
      </c>
      <c r="R43">
        <f t="shared" si="16"/>
        <v>8.9911867229111879E-4</v>
      </c>
      <c r="S43">
        <f t="shared" si="17"/>
        <v>8.6608540107099841E-4</v>
      </c>
      <c r="T43">
        <f t="shared" si="18"/>
        <v>8.9858089924595565E-4</v>
      </c>
    </row>
    <row r="44" spans="1:20" x14ac:dyDescent="0.25">
      <c r="A44">
        <f t="shared" si="0"/>
        <v>2.1000000000000005</v>
      </c>
      <c r="B44">
        <f t="shared" si="19"/>
        <v>1.3014253354850389</v>
      </c>
      <c r="C44">
        <f t="shared" si="1"/>
        <v>1.1226943306142074</v>
      </c>
      <c r="D44">
        <f t="shared" si="2"/>
        <v>-2.8930350944562202E-3</v>
      </c>
      <c r="E44">
        <f t="shared" si="3"/>
        <v>-2.7568821490179477E-3</v>
      </c>
      <c r="F44">
        <f t="shared" si="4"/>
        <v>-2.7666952615961193E-3</v>
      </c>
      <c r="G44">
        <f t="shared" si="5"/>
        <v>-2.6348974854249366E-3</v>
      </c>
      <c r="H44">
        <f t="shared" si="6"/>
        <v>-2.7625145668515481E-3</v>
      </c>
      <c r="I44">
        <f t="shared" si="7"/>
        <v>1.0236032269113138</v>
      </c>
      <c r="J44">
        <f t="shared" si="8"/>
        <v>7.5804694332713642E-4</v>
      </c>
      <c r="K44">
        <f t="shared" si="9"/>
        <v>7.4408155453261531E-4</v>
      </c>
      <c r="L44">
        <f t="shared" si="10"/>
        <v>7.4465575716105552E-4</v>
      </c>
      <c r="M44">
        <f t="shared" si="11"/>
        <v>7.3118510803364374E-4</v>
      </c>
      <c r="N44">
        <f t="shared" si="12"/>
        <v>7.4445111245802025E-4</v>
      </c>
      <c r="O44" s="1">
        <f t="shared" si="13"/>
        <v>1.0376033254845198</v>
      </c>
      <c r="P44">
        <f t="shared" si="14"/>
        <v>8.661681785941816E-4</v>
      </c>
      <c r="Q44">
        <f t="shared" si="15"/>
        <v>8.3468358614252061E-4</v>
      </c>
      <c r="R44">
        <f t="shared" si="16"/>
        <v>8.3605582848241824E-4</v>
      </c>
      <c r="S44">
        <f t="shared" si="17"/>
        <v>8.0576684069653406E-4</v>
      </c>
      <c r="T44">
        <f t="shared" si="18"/>
        <v>8.355689747567655E-4</v>
      </c>
    </row>
    <row r="45" spans="1:20" x14ac:dyDescent="0.25">
      <c r="A45">
        <f t="shared" si="0"/>
        <v>2.2000000000000006</v>
      </c>
      <c r="B45">
        <f t="shared" si="19"/>
        <v>1.3039283152033834</v>
      </c>
      <c r="C45">
        <f t="shared" si="1"/>
        <v>1.1199318160473559</v>
      </c>
      <c r="D45">
        <f t="shared" si="2"/>
        <v>-2.6364353864341441E-3</v>
      </c>
      <c r="E45">
        <f t="shared" si="3"/>
        <v>-2.5133978046818052E-3</v>
      </c>
      <c r="F45">
        <f t="shared" si="4"/>
        <v>-2.5220381505623559E-3</v>
      </c>
      <c r="G45">
        <f t="shared" si="5"/>
        <v>-2.4029623110579656E-3</v>
      </c>
      <c r="H45">
        <f t="shared" si="6"/>
        <v>-2.5183782679967385E-3</v>
      </c>
      <c r="I45">
        <f t="shared" si="7"/>
        <v>1.0243476780237717</v>
      </c>
      <c r="J45">
        <f t="shared" si="8"/>
        <v>7.3121865588041948E-4</v>
      </c>
      <c r="K45">
        <f t="shared" si="9"/>
        <v>7.1833737916856503E-4</v>
      </c>
      <c r="L45">
        <f t="shared" si="10"/>
        <v>7.1885726880219225E-4</v>
      </c>
      <c r="M45">
        <f t="shared" si="11"/>
        <v>7.0642580592228041E-4</v>
      </c>
      <c r="N45">
        <f t="shared" si="12"/>
        <v>7.1867229295736904E-4</v>
      </c>
      <c r="O45" s="1">
        <f t="shared" si="13"/>
        <v>1.0384388944592766</v>
      </c>
      <c r="P45">
        <f t="shared" si="14"/>
        <v>8.0583978665720317E-4</v>
      </c>
      <c r="Q45">
        <f t="shared" si="15"/>
        <v>7.7695307708435532E-4</v>
      </c>
      <c r="R45">
        <f t="shared" si="16"/>
        <v>7.781982664831961E-4</v>
      </c>
      <c r="S45">
        <f t="shared" si="17"/>
        <v>7.5040034675493425E-4</v>
      </c>
      <c r="T45">
        <f t="shared" si="18"/>
        <v>7.7775713675787338E-4</v>
      </c>
    </row>
    <row r="46" spans="1:20" x14ac:dyDescent="0.25">
      <c r="A46">
        <f t="shared" si="0"/>
        <v>2.3000000000000007</v>
      </c>
      <c r="B46">
        <f t="shared" si="19"/>
        <v>1.3064353580615378</v>
      </c>
      <c r="C46">
        <f t="shared" si="1"/>
        <v>1.1174134377793592</v>
      </c>
      <c r="D46">
        <f t="shared" si="2"/>
        <v>-2.4042868956337671E-3</v>
      </c>
      <c r="E46">
        <f t="shared" si="3"/>
        <v>-2.2929632903311513E-3</v>
      </c>
      <c r="F46">
        <f t="shared" si="4"/>
        <v>-2.300570777354505E-3</v>
      </c>
      <c r="G46">
        <f t="shared" si="5"/>
        <v>-2.1928476834909283E-3</v>
      </c>
      <c r="H46">
        <f t="shared" si="6"/>
        <v>-2.297367119082668E-3</v>
      </c>
      <c r="I46">
        <f t="shared" si="7"/>
        <v>1.025066350316729</v>
      </c>
      <c r="J46">
        <f t="shared" si="8"/>
        <v>7.0645521908912112E-4</v>
      </c>
      <c r="K46">
        <f t="shared" si="9"/>
        <v>6.9455663050030586E-4</v>
      </c>
      <c r="L46">
        <f t="shared" si="10"/>
        <v>6.950279553919412E-4</v>
      </c>
      <c r="M46">
        <f t="shared" si="11"/>
        <v>6.8353888878361151E-4</v>
      </c>
      <c r="N46">
        <f t="shared" si="12"/>
        <v>6.9486054660953785E-4</v>
      </c>
      <c r="O46" s="1">
        <f t="shared" si="13"/>
        <v>1.0392166515960346</v>
      </c>
      <c r="P46">
        <f t="shared" si="14"/>
        <v>7.5046455769016147E-4</v>
      </c>
      <c r="Q46">
        <f t="shared" si="15"/>
        <v>7.2393756722651252E-4</v>
      </c>
      <c r="R46">
        <f t="shared" si="16"/>
        <v>7.2506881421295633E-4</v>
      </c>
      <c r="S46">
        <f t="shared" si="17"/>
        <v>6.9953454324762909E-4</v>
      </c>
      <c r="T46">
        <f t="shared" si="18"/>
        <v>7.2466864396945473E-4</v>
      </c>
    </row>
    <row r="47" spans="1:20" x14ac:dyDescent="0.25">
      <c r="A47">
        <f t="shared" si="0"/>
        <v>2.4000000000000008</v>
      </c>
      <c r="B47">
        <f t="shared" si="19"/>
        <v>1.3089467748415364</v>
      </c>
      <c r="C47">
        <f t="shared" si="1"/>
        <v>1.1151160706602765</v>
      </c>
      <c r="D47">
        <f t="shared" si="2"/>
        <v>-2.1939858482078914E-3</v>
      </c>
      <c r="E47">
        <f t="shared" si="3"/>
        <v>-2.0931181270332114E-3</v>
      </c>
      <c r="F47">
        <f t="shared" si="4"/>
        <v>-2.0998228664029562E-3</v>
      </c>
      <c r="G47">
        <f t="shared" si="5"/>
        <v>-2.0022280818921879E-3</v>
      </c>
      <c r="H47">
        <f t="shared" si="6"/>
        <v>-2.0970159861620689E-3</v>
      </c>
      <c r="I47">
        <f t="shared" si="7"/>
        <v>1.0257612108633385</v>
      </c>
      <c r="J47">
        <f t="shared" si="8"/>
        <v>6.8356467744657594E-4</v>
      </c>
      <c r="K47">
        <f t="shared" si="9"/>
        <v>6.7255804668594696E-4</v>
      </c>
      <c r="L47">
        <f t="shared" si="10"/>
        <v>6.7298596608209938E-4</v>
      </c>
      <c r="M47">
        <f t="shared" si="11"/>
        <v>6.6235268987806586E-4</v>
      </c>
      <c r="N47">
        <f t="shared" si="12"/>
        <v>6.728342321434558E-4</v>
      </c>
      <c r="O47" s="1">
        <f t="shared" si="13"/>
        <v>1.0399413202400041</v>
      </c>
      <c r="P47">
        <f t="shared" si="14"/>
        <v>6.9959108104196985E-4</v>
      </c>
      <c r="Q47">
        <f t="shared" si="15"/>
        <v>6.7521011030134692E-4</v>
      </c>
      <c r="R47">
        <f t="shared" si="16"/>
        <v>6.7623918350671614E-4</v>
      </c>
      <c r="S47">
        <f t="shared" si="17"/>
        <v>6.5276444017508823E-4</v>
      </c>
      <c r="T47">
        <f t="shared" si="18"/>
        <v>6.7587568480553068E-4</v>
      </c>
    </row>
    <row r="48" spans="1:20" x14ac:dyDescent="0.25">
      <c r="A48">
        <f t="shared" si="0"/>
        <v>2.5000000000000009</v>
      </c>
      <c r="B48">
        <f t="shared" si="19"/>
        <v>1.3114627540732364</v>
      </c>
      <c r="C48">
        <f t="shared" si="1"/>
        <v>1.1130190546741145</v>
      </c>
      <c r="D48">
        <f t="shared" si="2"/>
        <v>-2.0032051419661911E-3</v>
      </c>
      <c r="E48">
        <f t="shared" si="3"/>
        <v>-1.9116761214744038E-3</v>
      </c>
      <c r="F48">
        <f t="shared" si="4"/>
        <v>-1.9175948625364649E-3</v>
      </c>
      <c r="G48">
        <f t="shared" si="5"/>
        <v>-1.8290435955756303E-3</v>
      </c>
      <c r="H48">
        <f t="shared" si="6"/>
        <v>-1.9151317842605931E-3</v>
      </c>
      <c r="I48">
        <f t="shared" si="7"/>
        <v>1.0264340450954819</v>
      </c>
      <c r="J48">
        <f t="shared" si="8"/>
        <v>6.6237532327654007E-4</v>
      </c>
      <c r="K48">
        <f t="shared" si="9"/>
        <v>6.5217947799698598E-4</v>
      </c>
      <c r="L48">
        <f t="shared" si="10"/>
        <v>6.5256857560856132E-4</v>
      </c>
      <c r="M48">
        <f t="shared" si="11"/>
        <v>6.4271357297473108E-4</v>
      </c>
      <c r="N48">
        <f t="shared" si="12"/>
        <v>6.5243083391039426E-4</v>
      </c>
      <c r="O48" s="1">
        <f t="shared" si="13"/>
        <v>1.0406171959248096</v>
      </c>
      <c r="P48">
        <f t="shared" si="14"/>
        <v>6.5281427988397595E-4</v>
      </c>
      <c r="Q48">
        <f t="shared" si="15"/>
        <v>6.303875135878934E-4</v>
      </c>
      <c r="R48">
        <f t="shared" si="16"/>
        <v>6.3132488773079984E-4</v>
      </c>
      <c r="S48">
        <f t="shared" si="17"/>
        <v>6.0972636805424203E-4</v>
      </c>
      <c r="T48">
        <f t="shared" si="18"/>
        <v>6.3099424176260078E-4</v>
      </c>
    </row>
    <row r="49" spans="1:20" x14ac:dyDescent="0.25">
      <c r="A49">
        <f t="shared" si="0"/>
        <v>2.600000000000001</v>
      </c>
      <c r="B49">
        <f t="shared" si="19"/>
        <v>1.3139834116122955</v>
      </c>
      <c r="C49">
        <f t="shared" si="1"/>
        <v>1.111103922889854</v>
      </c>
      <c r="D49">
        <f t="shared" si="2"/>
        <v>-1.8298823609893768E-3</v>
      </c>
      <c r="E49">
        <f t="shared" si="3"/>
        <v>-1.7467055896567274E-3</v>
      </c>
      <c r="F49">
        <f t="shared" si="4"/>
        <v>-1.7519409436413725E-3</v>
      </c>
      <c r="G49">
        <f t="shared" si="5"/>
        <v>-1.6714766363902457E-3</v>
      </c>
      <c r="H49">
        <f t="shared" si="6"/>
        <v>-1.7497753439959705E-3</v>
      </c>
      <c r="I49">
        <f t="shared" si="7"/>
        <v>1.0270864759293923</v>
      </c>
      <c r="J49">
        <f t="shared" si="8"/>
        <v>6.4273346924753247E-4</v>
      </c>
      <c r="K49">
        <f t="shared" si="9"/>
        <v>6.3327571369687578E-4</v>
      </c>
      <c r="L49">
        <f t="shared" si="10"/>
        <v>6.3363004076220496E-4</v>
      </c>
      <c r="M49">
        <f t="shared" si="11"/>
        <v>6.2448385121684647E-4</v>
      </c>
      <c r="N49">
        <f t="shared" si="12"/>
        <v>6.3350480489709007E-4</v>
      </c>
      <c r="O49" s="1">
        <f t="shared" si="13"/>
        <v>1.0412481901665722</v>
      </c>
      <c r="P49">
        <f t="shared" si="14"/>
        <v>6.0977037854975105E-4</v>
      </c>
      <c r="Q49">
        <f t="shared" si="15"/>
        <v>5.8912545272958865E-4</v>
      </c>
      <c r="R49">
        <f t="shared" si="16"/>
        <v>5.8998041212356416E-4</v>
      </c>
      <c r="S49">
        <f t="shared" si="17"/>
        <v>5.7009330895210493E-4</v>
      </c>
      <c r="T49">
        <f t="shared" si="18"/>
        <v>5.8967923620136019E-4</v>
      </c>
    </row>
    <row r="50" spans="1:20" x14ac:dyDescent="0.25">
      <c r="A50">
        <f t="shared" si="0"/>
        <v>2.7000000000000011</v>
      </c>
      <c r="B50">
        <f t="shared" si="19"/>
        <v>1.3165088201153137</v>
      </c>
      <c r="C50">
        <f t="shared" si="1"/>
        <v>1.1093541475458581</v>
      </c>
      <c r="D50">
        <f t="shared" si="2"/>
        <v>-1.6721971394560776E-3</v>
      </c>
      <c r="E50">
        <f t="shared" si="3"/>
        <v>-1.5965036609835615E-3</v>
      </c>
      <c r="F50">
        <f t="shared" si="4"/>
        <v>-1.6011447319339567E-3</v>
      </c>
      <c r="G50">
        <f t="shared" si="5"/>
        <v>-1.527925399840413E-3</v>
      </c>
      <c r="H50">
        <f t="shared" si="6"/>
        <v>-1.5992365541885878E-3</v>
      </c>
      <c r="I50">
        <f t="shared" si="7"/>
        <v>1.0277199807342894</v>
      </c>
      <c r="J50">
        <f t="shared" si="8"/>
        <v>6.2450137610850108E-4</v>
      </c>
      <c r="K50">
        <f t="shared" si="9"/>
        <v>6.1571650428646739E-4</v>
      </c>
      <c r="L50">
        <f t="shared" si="10"/>
        <v>6.1603963397634286E-4</v>
      </c>
      <c r="M50">
        <f t="shared" si="11"/>
        <v>6.0753991570928784E-4</v>
      </c>
      <c r="N50">
        <f t="shared" si="12"/>
        <v>6.1592559472390155E-4</v>
      </c>
      <c r="O50" s="1">
        <f t="shared" si="13"/>
        <v>1.0418378694027737</v>
      </c>
      <c r="P50">
        <f t="shared" si="14"/>
        <v>5.701322510186541E-4</v>
      </c>
      <c r="Q50">
        <f t="shared" si="15"/>
        <v>5.5111404148163454E-4</v>
      </c>
      <c r="R50">
        <f t="shared" si="16"/>
        <v>5.5189480342094093E-4</v>
      </c>
      <c r="S50">
        <f t="shared" si="17"/>
        <v>5.3357070609849351E-4</v>
      </c>
      <c r="T50">
        <f t="shared" si="18"/>
        <v>5.5162010782038311E-4</v>
      </c>
    </row>
    <row r="51" spans="1:20" x14ac:dyDescent="0.25">
      <c r="A51">
        <f t="shared" si="0"/>
        <v>2.8000000000000012</v>
      </c>
      <c r="B51">
        <f t="shared" si="19"/>
        <v>1.3190390265634244</v>
      </c>
      <c r="C51">
        <f t="shared" si="1"/>
        <v>1.1077549109916696</v>
      </c>
      <c r="D51">
        <f t="shared" si="2"/>
        <v>-1.528544961390388E-3</v>
      </c>
      <c r="E51">
        <f t="shared" si="3"/>
        <v>-1.4595695348535997E-3</v>
      </c>
      <c r="F51">
        <f t="shared" si="4"/>
        <v>-1.4636931794967723E-3</v>
      </c>
      <c r="G51">
        <f t="shared" si="5"/>
        <v>-1.3969776260569057E-3</v>
      </c>
      <c r="H51">
        <f t="shared" si="6"/>
        <v>-1.4620080026913397E-3</v>
      </c>
      <c r="I51">
        <f t="shared" si="7"/>
        <v>1.0283359063290134</v>
      </c>
      <c r="J51">
        <f t="shared" si="8"/>
        <v>6.0755538566931969E-4</v>
      </c>
      <c r="K51">
        <f t="shared" si="9"/>
        <v>5.9938480184181637E-4</v>
      </c>
      <c r="L51">
        <f t="shared" si="10"/>
        <v>5.9967988533146004E-4</v>
      </c>
      <c r="M51">
        <f t="shared" si="11"/>
        <v>5.9177058172338499E-4</v>
      </c>
      <c r="N51">
        <f t="shared" si="12"/>
        <v>5.995758902898762E-4</v>
      </c>
      <c r="O51" s="1">
        <f t="shared" si="13"/>
        <v>1.0423894895105941</v>
      </c>
      <c r="P51">
        <f t="shared" si="14"/>
        <v>5.3360523912752424E-4</v>
      </c>
      <c r="Q51">
        <f t="shared" si="15"/>
        <v>5.1607389183959689E-4</v>
      </c>
      <c r="R51">
        <f t="shared" si="16"/>
        <v>5.1678773112264213E-4</v>
      </c>
      <c r="S51">
        <f t="shared" si="17"/>
        <v>4.9989275893442544E-4</v>
      </c>
      <c r="T51">
        <f t="shared" si="18"/>
        <v>5.1653687399773785E-4</v>
      </c>
    </row>
    <row r="52" spans="1:20" x14ac:dyDescent="0.25">
      <c r="A52">
        <f t="shared" si="0"/>
        <v>2.9000000000000012</v>
      </c>
      <c r="B52">
        <f t="shared" si="19"/>
        <v>1.321574062680444</v>
      </c>
      <c r="C52">
        <f t="shared" si="1"/>
        <v>1.1062929029889783</v>
      </c>
      <c r="D52">
        <f t="shared" si="2"/>
        <v>-1.3975110811849769E-3</v>
      </c>
      <c r="E52">
        <f t="shared" si="3"/>
        <v>-1.3345791072532976E-3</v>
      </c>
      <c r="F52">
        <f t="shared" si="4"/>
        <v>-1.3382514005998659E-3</v>
      </c>
      <c r="G52">
        <f t="shared" si="5"/>
        <v>-1.2773863371366547E-3</v>
      </c>
      <c r="H52">
        <f t="shared" si="6"/>
        <v>-1.3367597390046598E-3</v>
      </c>
      <c r="I52">
        <f t="shared" si="7"/>
        <v>1.0289354822193033</v>
      </c>
      <c r="J52">
        <f t="shared" si="8"/>
        <v>5.9178426888801378E-4</v>
      </c>
      <c r="K52">
        <f t="shared" si="9"/>
        <v>5.8417521417398501E-4</v>
      </c>
      <c r="L52">
        <f t="shared" si="10"/>
        <v>5.8444503360855393E-4</v>
      </c>
      <c r="M52">
        <f t="shared" si="11"/>
        <v>5.7707564116631874E-4</v>
      </c>
      <c r="N52">
        <f t="shared" si="12"/>
        <v>5.8435006760323505E-4</v>
      </c>
      <c r="O52" s="1">
        <f t="shared" si="13"/>
        <v>1.0429060263845917</v>
      </c>
      <c r="P52">
        <f t="shared" si="14"/>
        <v>4.9992345126161628E-4</v>
      </c>
      <c r="Q52">
        <f t="shared" si="15"/>
        <v>4.8375264809001899E-4</v>
      </c>
      <c r="R52">
        <f t="shared" si="16"/>
        <v>4.8440601357584157E-4</v>
      </c>
      <c r="S52">
        <f t="shared" si="17"/>
        <v>4.6881917375240779E-4</v>
      </c>
      <c r="T52">
        <f t="shared" si="18"/>
        <v>4.8417665805762424E-4</v>
      </c>
    </row>
    <row r="53" spans="1:20" x14ac:dyDescent="0.25">
      <c r="A53">
        <f t="shared" si="0"/>
        <v>3.0000000000000013</v>
      </c>
      <c r="B53">
        <f t="shared" si="19"/>
        <v>1.3241139511266875</v>
      </c>
      <c r="C53">
        <f t="shared" si="1"/>
        <v>1.1049561432499737</v>
      </c>
      <c r="D53">
        <f t="shared" si="2"/>
        <v>-1.2778463211754244E-3</v>
      </c>
      <c r="E53">
        <f t="shared" si="3"/>
        <v>-1.220362017158383E-3</v>
      </c>
      <c r="F53">
        <f t="shared" si="4"/>
        <v>-1.2236397056076599E-3</v>
      </c>
      <c r="G53">
        <f t="shared" si="5"/>
        <v>-1.1680481990238966E-3</v>
      </c>
      <c r="H53">
        <f t="shared" si="6"/>
        <v>-1.2223163276219012E-3</v>
      </c>
      <c r="I53">
        <f t="shared" si="7"/>
        <v>1.0295198322869066</v>
      </c>
      <c r="J53">
        <f t="shared" si="8"/>
        <v>5.7708777886746358E-4</v>
      </c>
      <c r="K53">
        <f t="shared" si="9"/>
        <v>5.6999265593479949E-4</v>
      </c>
      <c r="L53">
        <f t="shared" si="10"/>
        <v>5.7023967224288164E-4</v>
      </c>
      <c r="M53">
        <f t="shared" si="11"/>
        <v>5.6336460162690748E-4</v>
      </c>
      <c r="N53">
        <f t="shared" si="12"/>
        <v>5.7015283947495546E-4</v>
      </c>
      <c r="O53" s="1">
        <f t="shared" si="13"/>
        <v>1.0433902030426494</v>
      </c>
      <c r="P53">
        <f t="shared" si="14"/>
        <v>4.688465139680853E-4</v>
      </c>
      <c r="Q53">
        <f t="shared" si="15"/>
        <v>4.5392195464262768E-4</v>
      </c>
      <c r="R53">
        <f t="shared" si="16"/>
        <v>4.5452057407718849E-4</v>
      </c>
      <c r="S53">
        <f t="shared" si="17"/>
        <v>4.4013232474743595E-4</v>
      </c>
      <c r="T53">
        <f t="shared" si="18"/>
        <v>4.5431064935919226E-4</v>
      </c>
    </row>
    <row r="54" spans="1:20" x14ac:dyDescent="0.25">
      <c r="A54">
        <f t="shared" si="0"/>
        <v>3.1000000000000014</v>
      </c>
      <c r="B54">
        <f t="shared" si="19"/>
        <v>1.3266587091813367</v>
      </c>
      <c r="C54">
        <f t="shared" si="1"/>
        <v>1.1037338269223518</v>
      </c>
      <c r="D54">
        <f t="shared" si="2"/>
        <v>-1.1684454411353684E-3</v>
      </c>
      <c r="E54">
        <f t="shared" si="3"/>
        <v>-1.1158814280167739E-3</v>
      </c>
      <c r="F54">
        <f t="shared" si="4"/>
        <v>-1.1188132673917827E-3</v>
      </c>
      <c r="G54">
        <f t="shared" si="5"/>
        <v>-1.06798461640647E-3</v>
      </c>
      <c r="H54">
        <f t="shared" si="6"/>
        <v>-1.1176365747264921E-3</v>
      </c>
      <c r="I54">
        <f t="shared" si="7"/>
        <v>1.0300899851263816</v>
      </c>
      <c r="J54">
        <f t="shared" si="8"/>
        <v>5.6337538973917178E-4</v>
      </c>
      <c r="K54">
        <f t="shared" si="9"/>
        <v>5.5675117506107585E-4</v>
      </c>
      <c r="L54">
        <f t="shared" si="10"/>
        <v>5.5697757003239829E-4</v>
      </c>
      <c r="M54">
        <f t="shared" si="11"/>
        <v>5.5055558983287589E-4</v>
      </c>
      <c r="N54">
        <f t="shared" si="12"/>
        <v>5.568980782931659E-4</v>
      </c>
      <c r="O54" s="1">
        <f t="shared" si="13"/>
        <v>1.0438445136920087</v>
      </c>
      <c r="P54">
        <f t="shared" si="14"/>
        <v>4.4015673262716719E-4</v>
      </c>
      <c r="Q54">
        <f t="shared" si="15"/>
        <v>4.2637480918981951E-4</v>
      </c>
      <c r="R54">
        <f t="shared" si="16"/>
        <v>4.269237813828014E-4</v>
      </c>
      <c r="S54">
        <f t="shared" si="17"/>
        <v>4.1363477635587289E-4</v>
      </c>
      <c r="T54">
        <f t="shared" si="18"/>
        <v>4.2673144835471356E-4</v>
      </c>
    </row>
    <row r="55" spans="1:20" x14ac:dyDescent="0.25">
      <c r="A55">
        <f t="shared" si="0"/>
        <v>3.2000000000000015</v>
      </c>
      <c r="B55">
        <f t="shared" si="19"/>
        <v>1.3292083509316945</v>
      </c>
      <c r="C55">
        <f t="shared" si="1"/>
        <v>1.1026161903476253</v>
      </c>
      <c r="D55">
        <f t="shared" si="2"/>
        <v>-1.068328214953418E-3</v>
      </c>
      <c r="E55">
        <f t="shared" si="3"/>
        <v>-1.0202164868863051E-3</v>
      </c>
      <c r="F55">
        <f t="shared" si="4"/>
        <v>-1.0228444260798498E-3</v>
      </c>
      <c r="G55">
        <f t="shared" si="5"/>
        <v>-9.7632540589396308E-4</v>
      </c>
      <c r="H55">
        <f t="shared" si="6"/>
        <v>-1.021795907796615E-3</v>
      </c>
      <c r="I55">
        <f t="shared" si="7"/>
        <v>1.0306468832046747</v>
      </c>
      <c r="J55">
        <f t="shared" si="8"/>
        <v>5.505651996435719E-4</v>
      </c>
      <c r="K55">
        <f t="shared" si="9"/>
        <v>5.4437293233273803E-4</v>
      </c>
      <c r="L55">
        <f t="shared" si="10"/>
        <v>5.445806451150597E-4</v>
      </c>
      <c r="M55">
        <f t="shared" si="11"/>
        <v>5.3857439784893186E-4</v>
      </c>
      <c r="N55">
        <f t="shared" si="12"/>
        <v>5.4450779206468311E-4</v>
      </c>
      <c r="O55" s="1">
        <f t="shared" si="13"/>
        <v>1.0442712451403635</v>
      </c>
      <c r="P55">
        <f t="shared" si="14"/>
        <v>4.1365661279751112E-4</v>
      </c>
      <c r="Q55">
        <f t="shared" si="15"/>
        <v>4.0092325238659521E-4</v>
      </c>
      <c r="R55">
        <f t="shared" si="16"/>
        <v>4.0142712724073606E-4</v>
      </c>
      <c r="S55">
        <f t="shared" si="17"/>
        <v>3.8914711953125794E-4</v>
      </c>
      <c r="T55">
        <f t="shared" si="18"/>
        <v>4.0125074859723864E-4</v>
      </c>
    </row>
    <row r="56" spans="1:20" x14ac:dyDescent="0.25">
      <c r="A56">
        <f t="shared" si="0"/>
        <v>3.3000000000000016</v>
      </c>
      <c r="B56">
        <f t="shared" si="19"/>
        <v>1.3317628885747574</v>
      </c>
      <c r="C56">
        <f t="shared" si="1"/>
        <v>1.1015943944398285</v>
      </c>
      <c r="D56">
        <f t="shared" si="2"/>
        <v>-9.7662307466119826E-4</v>
      </c>
      <c r="E56">
        <f t="shared" si="3"/>
        <v>-9.3254723309375018E-4</v>
      </c>
      <c r="F56">
        <f t="shared" si="4"/>
        <v>-9.3490743706299291E-4</v>
      </c>
      <c r="G56">
        <f t="shared" si="5"/>
        <v>-8.9229478162167197E-4</v>
      </c>
      <c r="H56">
        <f t="shared" si="6"/>
        <v>-9.339711994327261E-4</v>
      </c>
      <c r="I56">
        <f t="shared" si="7"/>
        <v>1.0311913909967394</v>
      </c>
      <c r="J56">
        <f t="shared" si="8"/>
        <v>5.3858297633963199E-4</v>
      </c>
      <c r="K56">
        <f t="shared" si="9"/>
        <v>5.3278731319455282E-4</v>
      </c>
      <c r="L56">
        <f t="shared" si="10"/>
        <v>5.3297807170008015E-4</v>
      </c>
      <c r="M56">
        <f t="shared" si="11"/>
        <v>5.2735365219759437E-4</v>
      </c>
      <c r="N56">
        <f t="shared" si="12"/>
        <v>5.3291123305441545E-4</v>
      </c>
      <c r="O56" s="1">
        <f t="shared" si="13"/>
        <v>1.0446724958889608</v>
      </c>
      <c r="P56">
        <f t="shared" si="14"/>
        <v>3.8916669528600291E-4</v>
      </c>
      <c r="Q56">
        <f t="shared" si="15"/>
        <v>3.7739634868286524E-4</v>
      </c>
      <c r="R56">
        <f t="shared" si="16"/>
        <v>3.77859196208305E-4</v>
      </c>
      <c r="S56">
        <f t="shared" si="17"/>
        <v>3.6650607893066182E-4</v>
      </c>
      <c r="T56">
        <f t="shared" si="18"/>
        <v>3.7769731066650085E-4</v>
      </c>
    </row>
    <row r="57" spans="1:20" x14ac:dyDescent="0.25">
      <c r="A57">
        <f t="shared" si="0"/>
        <v>3.4000000000000017</v>
      </c>
      <c r="B57">
        <f t="shared" si="19"/>
        <v>1.3343223331910412</v>
      </c>
      <c r="C57">
        <f t="shared" si="1"/>
        <v>1.1006604232403958</v>
      </c>
      <c r="D57">
        <f t="shared" si="2"/>
        <v>-8.9255306396642811E-4</v>
      </c>
      <c r="E57">
        <f t="shared" si="3"/>
        <v>-8.5214166667073603E-4</v>
      </c>
      <c r="F57">
        <f t="shared" si="4"/>
        <v>-8.5426538852591001E-4</v>
      </c>
      <c r="G57">
        <f t="shared" si="5"/>
        <v>-8.151993568899841E-4</v>
      </c>
      <c r="H57">
        <f t="shared" si="6"/>
        <v>-8.5342775520828396E-4</v>
      </c>
      <c r="I57">
        <f t="shared" si="7"/>
        <v>1.0317243022297937</v>
      </c>
      <c r="J57">
        <f t="shared" si="8"/>
        <v>5.27361325731106E-4</v>
      </c>
      <c r="K57">
        <f t="shared" si="9"/>
        <v>5.2193015319051278E-4</v>
      </c>
      <c r="L57">
        <f t="shared" si="10"/>
        <v>5.2210550102013622E-4</v>
      </c>
      <c r="M57">
        <f t="shared" si="11"/>
        <v>5.1683208842607901E-4</v>
      </c>
      <c r="N57">
        <f t="shared" si="12"/>
        <v>5.2204412042974717E-4</v>
      </c>
      <c r="O57" s="1">
        <f t="shared" si="13"/>
        <v>1.0450501931996272</v>
      </c>
      <c r="P57">
        <f t="shared" si="14"/>
        <v>3.6652366212261704E-4</v>
      </c>
      <c r="Q57">
        <f t="shared" si="15"/>
        <v>3.5563841788941732E-4</v>
      </c>
      <c r="R57">
        <f t="shared" si="16"/>
        <v>3.5606388754148843E-4</v>
      </c>
      <c r="S57">
        <f t="shared" si="17"/>
        <v>3.4556285316530435E-4</v>
      </c>
      <c r="T57">
        <f t="shared" si="18"/>
        <v>3.5591518769162212E-4</v>
      </c>
    </row>
    <row r="58" spans="1:20" x14ac:dyDescent="0.25">
      <c r="A58">
        <f t="shared" si="0"/>
        <v>3.5000000000000018</v>
      </c>
      <c r="B58">
        <f t="shared" si="19"/>
        <v>1.3368866952046499</v>
      </c>
      <c r="C58">
        <f t="shared" si="1"/>
        <v>1.0998069954851875</v>
      </c>
      <c r="D58">
        <f t="shared" si="2"/>
        <v>-8.1542380891583841E-4</v>
      </c>
      <c r="E58">
        <f t="shared" si="3"/>
        <v>-7.7834468131285925E-4</v>
      </c>
      <c r="F58">
        <f t="shared" si="4"/>
        <v>-7.8025899992653083E-4</v>
      </c>
      <c r="G58">
        <f t="shared" si="5"/>
        <v>-7.4441787492256499E-4</v>
      </c>
      <c r="H58">
        <f t="shared" si="6"/>
        <v>-7.7950817438619726E-4</v>
      </c>
      <c r="I58">
        <f t="shared" si="7"/>
        <v>1.0322463463502234</v>
      </c>
      <c r="J58">
        <f t="shared" si="8"/>
        <v>5.1683896588247517E-4</v>
      </c>
      <c r="K58">
        <f t="shared" si="9"/>
        <v>5.1174306076887273E-4</v>
      </c>
      <c r="L58">
        <f t="shared" si="10"/>
        <v>5.1190438026901288E-4</v>
      </c>
      <c r="M58">
        <f t="shared" si="11"/>
        <v>5.0695391602397833E-4</v>
      </c>
      <c r="N58">
        <f t="shared" si="12"/>
        <v>5.1184796066370414E-4</v>
      </c>
      <c r="O58" s="1">
        <f t="shared" si="13"/>
        <v>1.0454061083873187</v>
      </c>
      <c r="P58">
        <f t="shared" si="14"/>
        <v>3.4557867569153249E-4</v>
      </c>
      <c r="Q58">
        <f t="shared" si="15"/>
        <v>3.3550748232284158E-4</v>
      </c>
      <c r="R58">
        <f t="shared" si="16"/>
        <v>3.3589885399247233E-4</v>
      </c>
      <c r="S58">
        <f t="shared" si="17"/>
        <v>3.2618165543839007E-4</v>
      </c>
      <c r="T58">
        <f t="shared" si="18"/>
        <v>3.3576216729342507E-4</v>
      </c>
    </row>
    <row r="59" spans="1:20" x14ac:dyDescent="0.25">
      <c r="A59">
        <f t="shared" si="0"/>
        <v>3.6000000000000019</v>
      </c>
      <c r="B59">
        <f t="shared" si="19"/>
        <v>1.3394559846568097</v>
      </c>
      <c r="C59">
        <f t="shared" si="1"/>
        <v>1.0990274873108012</v>
      </c>
      <c r="D59">
        <f t="shared" si="2"/>
        <v>-7.4461322060281887E-4</v>
      </c>
      <c r="E59">
        <f t="shared" si="3"/>
        <v>-7.1056858762670323E-4</v>
      </c>
      <c r="F59">
        <f t="shared" si="4"/>
        <v>-7.1229702891848498E-4</v>
      </c>
      <c r="G59">
        <f t="shared" si="5"/>
        <v>-6.7939240913572618E-4</v>
      </c>
      <c r="H59">
        <f t="shared" si="6"/>
        <v>-7.1162281047148688E-4</v>
      </c>
      <c r="I59">
        <f t="shared" si="7"/>
        <v>1.032758194310887</v>
      </c>
      <c r="J59">
        <f t="shared" si="8"/>
        <v>5.0696009144934396E-4</v>
      </c>
      <c r="K59">
        <f t="shared" si="9"/>
        <v>5.0217282353074528E-4</v>
      </c>
      <c r="L59">
        <f t="shared" si="10"/>
        <v>5.0232135555166788E-4</v>
      </c>
      <c r="M59">
        <f t="shared" si="11"/>
        <v>4.9766826080814759E-4</v>
      </c>
      <c r="N59">
        <f t="shared" si="12"/>
        <v>5.0226945173705289E-4</v>
      </c>
      <c r="O59" s="1">
        <f t="shared" si="13"/>
        <v>1.0457418705546122</v>
      </c>
      <c r="P59">
        <f t="shared" si="14"/>
        <v>3.2619591837993183E-4</v>
      </c>
      <c r="Q59">
        <f t="shared" si="15"/>
        <v>3.1687389937161414E-4</v>
      </c>
      <c r="R59">
        <f t="shared" si="16"/>
        <v>3.1723412724828651E-4</v>
      </c>
      <c r="S59">
        <f t="shared" si="17"/>
        <v>3.0823842665176905E-4</v>
      </c>
      <c r="T59">
        <f t="shared" si="18"/>
        <v>3.1710839971191697E-4</v>
      </c>
    </row>
    <row r="60" spans="1:20" x14ac:dyDescent="0.25">
      <c r="A60">
        <f t="shared" si="0"/>
        <v>3.700000000000002</v>
      </c>
      <c r="B60">
        <f t="shared" si="19"/>
        <v>1.3420302113685068</v>
      </c>
      <c r="C60">
        <f t="shared" si="1"/>
        <v>1.0983158645003297</v>
      </c>
      <c r="D60">
        <f t="shared" si="2"/>
        <v>-6.7956267090787394E-4</v>
      </c>
      <c r="E60">
        <f t="shared" si="3"/>
        <v>-6.482849839410499E-4</v>
      </c>
      <c r="F60">
        <f t="shared" si="4"/>
        <v>-6.4984804330761039E-4</v>
      </c>
      <c r="G60">
        <f t="shared" si="5"/>
        <v>-6.1962080643684914E-4</v>
      </c>
      <c r="H60">
        <f t="shared" si="6"/>
        <v>-6.4924158864034063E-4</v>
      </c>
      <c r="I60">
        <f t="shared" si="7"/>
        <v>1.0332604637626241</v>
      </c>
      <c r="J60">
        <f t="shared" si="8"/>
        <v>4.9767381564344744E-4</v>
      </c>
      <c r="K60">
        <f t="shared" si="9"/>
        <v>4.9317088608238815E-4</v>
      </c>
      <c r="L60">
        <f t="shared" si="10"/>
        <v>4.9330774694060899E-4</v>
      </c>
      <c r="M60">
        <f t="shared" si="11"/>
        <v>4.8892867384804737E-4</v>
      </c>
      <c r="N60">
        <f t="shared" si="12"/>
        <v>4.9325995925624813E-4</v>
      </c>
      <c r="O60" s="1">
        <f t="shared" si="13"/>
        <v>1.0460589789543242</v>
      </c>
      <c r="P60">
        <f t="shared" si="14"/>
        <v>3.0825130483279621E-4</v>
      </c>
      <c r="Q60">
        <f t="shared" si="15"/>
        <v>2.9961915380459503E-4</v>
      </c>
      <c r="R60">
        <f t="shared" si="16"/>
        <v>2.9995090418593332E-4</v>
      </c>
      <c r="S60">
        <f t="shared" si="17"/>
        <v>2.9161969725738368E-4</v>
      </c>
      <c r="T60">
        <f t="shared" si="18"/>
        <v>2.9983518634520606E-4</v>
      </c>
    </row>
    <row r="61" spans="1:20" x14ac:dyDescent="0.25">
      <c r="A61">
        <f t="shared" si="0"/>
        <v>3.800000000000002</v>
      </c>
      <c r="B61">
        <f t="shared" si="19"/>
        <v>1.3446093850371899</v>
      </c>
      <c r="C61">
        <f t="shared" si="1"/>
        <v>1.0976666229116894</v>
      </c>
      <c r="D61">
        <f t="shared" si="2"/>
        <v>-6.1976941481489689E-4</v>
      </c>
      <c r="E61">
        <f t="shared" si="3"/>
        <v>-5.9101776564354227E-4</v>
      </c>
      <c r="F61">
        <f t="shared" si="4"/>
        <v>-5.924333472416166E-4</v>
      </c>
      <c r="G61">
        <f t="shared" si="5"/>
        <v>-5.6465018019338233E-4</v>
      </c>
      <c r="H61">
        <f t="shared" si="6"/>
        <v>-5.9188697012976614E-4</v>
      </c>
      <c r="I61">
        <f t="shared" si="7"/>
        <v>1.0337537237218803</v>
      </c>
      <c r="J61">
        <f t="shared" si="8"/>
        <v>4.8893367880203909E-4</v>
      </c>
      <c r="K61">
        <f t="shared" si="9"/>
        <v>4.8469288946895411E-4</v>
      </c>
      <c r="L61">
        <f t="shared" si="10"/>
        <v>4.8481908554623301E-4</v>
      </c>
      <c r="M61">
        <f t="shared" si="11"/>
        <v>4.8069269769121254E-4</v>
      </c>
      <c r="N61">
        <f t="shared" si="12"/>
        <v>4.8477505442060431E-4</v>
      </c>
      <c r="O61" s="1">
        <f t="shared" si="13"/>
        <v>1.0463588141406694</v>
      </c>
      <c r="P61">
        <f t="shared" si="14"/>
        <v>2.9163134308203553E-4</v>
      </c>
      <c r="Q61">
        <f t="shared" si="15"/>
        <v>2.8363478803477838E-4</v>
      </c>
      <c r="R61">
        <f t="shared" si="16"/>
        <v>2.8394047200574481E-4</v>
      </c>
      <c r="S61">
        <f t="shared" si="17"/>
        <v>2.7622157773825041E-4</v>
      </c>
      <c r="T61">
        <f t="shared" si="18"/>
        <v>2.8383390681688871E-4</v>
      </c>
    </row>
    <row r="62" spans="1:20" x14ac:dyDescent="0.25">
      <c r="A62">
        <f t="shared" si="0"/>
        <v>3.9000000000000021</v>
      </c>
      <c r="B62">
        <f t="shared" si="19"/>
        <v>1.3471935152942796</v>
      </c>
      <c r="C62">
        <f t="shared" si="1"/>
        <v>1.0970747359415596</v>
      </c>
      <c r="D62">
        <f t="shared" si="2"/>
        <v>-5.6478006563791543E-4</v>
      </c>
      <c r="E62">
        <f t="shared" si="3"/>
        <v>-5.3833709585200402E-4</v>
      </c>
      <c r="F62">
        <f t="shared" si="4"/>
        <v>-5.3962088236074739E-4</v>
      </c>
      <c r="G62">
        <f t="shared" si="5"/>
        <v>-5.1407128975089478E-4</v>
      </c>
      <c r="H62">
        <f t="shared" si="6"/>
        <v>-5.3912788530238547E-4</v>
      </c>
      <c r="I62">
        <f t="shared" si="7"/>
        <v>1.0342384987763009</v>
      </c>
      <c r="J62">
        <f t="shared" si="8"/>
        <v>4.8069721431422878E-4</v>
      </c>
      <c r="K62">
        <f t="shared" si="9"/>
        <v>4.7669826371841072E-4</v>
      </c>
      <c r="L62">
        <f t="shared" si="10"/>
        <v>4.768147040638729E-4</v>
      </c>
      <c r="M62">
        <f t="shared" si="11"/>
        <v>4.7292148207808042E-4</v>
      </c>
      <c r="N62">
        <f t="shared" si="12"/>
        <v>4.7677410532614604E-4</v>
      </c>
      <c r="O62" s="1">
        <f t="shared" si="13"/>
        <v>1.0466426480474864</v>
      </c>
      <c r="P62">
        <f t="shared" si="14"/>
        <v>2.7623212442024484E-4</v>
      </c>
      <c r="Q62">
        <f t="shared" si="15"/>
        <v>2.688214518696497E-4</v>
      </c>
      <c r="R62">
        <f t="shared" si="16"/>
        <v>2.6910325363367074E-4</v>
      </c>
      <c r="S62">
        <f t="shared" si="17"/>
        <v>2.619488606637882E-4</v>
      </c>
      <c r="T62">
        <f t="shared" si="18"/>
        <v>2.6900506601511233E-4</v>
      </c>
    </row>
    <row r="63" spans="1:20" x14ac:dyDescent="0.25">
      <c r="A63">
        <f t="shared" si="0"/>
        <v>4.0000000000000018</v>
      </c>
      <c r="B63">
        <f t="shared" si="19"/>
        <v>1.3497826117393703</v>
      </c>
      <c r="C63">
        <f t="shared" si="1"/>
        <v>1.0965356080562572</v>
      </c>
      <c r="D63">
        <f t="shared" si="2"/>
        <v>-5.1418495967103794E-4</v>
      </c>
      <c r="E63">
        <f t="shared" si="3"/>
        <v>-4.8985418860949539E-4</v>
      </c>
      <c r="F63">
        <f t="shared" si="4"/>
        <v>-4.9101995300775418E-4</v>
      </c>
      <c r="G63">
        <f t="shared" si="5"/>
        <v>-4.6751366989052914E-4</v>
      </c>
      <c r="H63">
        <f t="shared" si="6"/>
        <v>-4.9057448546601106E-4</v>
      </c>
      <c r="I63">
        <f t="shared" si="7"/>
        <v>1.0347152728816271</v>
      </c>
      <c r="J63">
        <f t="shared" si="8"/>
        <v>4.7292556408591981E-4</v>
      </c>
      <c r="K63">
        <f t="shared" si="9"/>
        <v>4.6914986633254881E-4</v>
      </c>
      <c r="L63">
        <f t="shared" si="10"/>
        <v>4.6925737357576629E-4</v>
      </c>
      <c r="M63">
        <f t="shared" si="11"/>
        <v>4.6557944253755568E-4</v>
      </c>
      <c r="N63">
        <f t="shared" si="12"/>
        <v>4.6921991440668421E-4</v>
      </c>
      <c r="O63" s="1">
        <f t="shared" si="13"/>
        <v>1.0469116531135014</v>
      </c>
      <c r="P63">
        <f t="shared" si="14"/>
        <v>2.6195842494834698E-4</v>
      </c>
      <c r="Q63">
        <f t="shared" si="15"/>
        <v>2.5508805608037423E-4</v>
      </c>
      <c r="R63">
        <f t="shared" si="16"/>
        <v>2.5534795760031871E-4</v>
      </c>
      <c r="S63">
        <f t="shared" si="17"/>
        <v>2.4871421983976296E-4</v>
      </c>
      <c r="T63">
        <f t="shared" si="18"/>
        <v>2.552574453582493E-4</v>
      </c>
    </row>
    <row r="64" spans="1:20" x14ac:dyDescent="0.25">
      <c r="A64">
        <f t="shared" si="0"/>
        <v>4.1000000000000014</v>
      </c>
      <c r="B64">
        <f t="shared" si="19"/>
        <v>1.3523766839605798</v>
      </c>
      <c r="C64">
        <f t="shared" si="1"/>
        <v>1.0960450335707912</v>
      </c>
      <c r="D64">
        <f t="shared" si="2"/>
        <v>-4.676132732211791E-4</v>
      </c>
      <c r="E64">
        <f t="shared" si="3"/>
        <v>-4.4521678017730439E-4</v>
      </c>
      <c r="F64">
        <f t="shared" si="4"/>
        <v>-4.462766492269843E-4</v>
      </c>
      <c r="G64">
        <f t="shared" si="5"/>
        <v>-4.2464139612148345E-4</v>
      </c>
      <c r="H64">
        <f t="shared" si="6"/>
        <v>-4.4587358802520671E-4</v>
      </c>
      <c r="I64">
        <f t="shared" si="7"/>
        <v>1.0351844927960339</v>
      </c>
      <c r="J64">
        <f t="shared" si="8"/>
        <v>4.6558313692689359E-4</v>
      </c>
      <c r="K64">
        <f t="shared" si="9"/>
        <v>4.620136606580775E-4</v>
      </c>
      <c r="L64">
        <f t="shared" si="10"/>
        <v>4.6211298049069778E-4</v>
      </c>
      <c r="M64">
        <f t="shared" si="11"/>
        <v>4.5863395625955294E-4</v>
      </c>
      <c r="N64">
        <f t="shared" si="12"/>
        <v>4.6207839591399949E-4</v>
      </c>
      <c r="O64" s="1">
        <f t="shared" si="13"/>
        <v>1.0471669105588597</v>
      </c>
      <c r="P64">
        <f t="shared" si="14"/>
        <v>2.487229043015432E-4</v>
      </c>
      <c r="Q64">
        <f t="shared" si="15"/>
        <v>2.4235101647261117E-4</v>
      </c>
      <c r="R64">
        <f t="shared" si="16"/>
        <v>2.425908189728654E-4</v>
      </c>
      <c r="S64">
        <f t="shared" si="17"/>
        <v>2.364374942301434E-4</v>
      </c>
      <c r="T64">
        <f t="shared" si="18"/>
        <v>2.4250734490377331E-4</v>
      </c>
    </row>
    <row r="65" spans="1:20" x14ac:dyDescent="0.25">
      <c r="A65">
        <f t="shared" si="0"/>
        <v>4.2000000000000011</v>
      </c>
      <c r="B65">
        <f t="shared" si="19"/>
        <v>1.3549757415466621</v>
      </c>
      <c r="C65">
        <f t="shared" si="1"/>
        <v>1.0955991599827659</v>
      </c>
      <c r="D65">
        <f t="shared" si="2"/>
        <v>-4.247287775424269E-4</v>
      </c>
      <c r="E65">
        <f t="shared" si="3"/>
        <v>-4.0410518461788671E-4</v>
      </c>
      <c r="F65">
        <f t="shared" si="4"/>
        <v>-4.0506986206922946E-4</v>
      </c>
      <c r="G65">
        <f t="shared" si="5"/>
        <v>-3.8514939062990196E-4</v>
      </c>
      <c r="H65">
        <f t="shared" si="6"/>
        <v>-4.0470471025776025E-4</v>
      </c>
      <c r="I65">
        <f t="shared" si="7"/>
        <v>1.0356465711919478</v>
      </c>
      <c r="J65">
        <f t="shared" si="8"/>
        <v>4.5863730424975849E-4</v>
      </c>
      <c r="K65">
        <f t="shared" si="9"/>
        <v>4.5525842898690258E-4</v>
      </c>
      <c r="L65">
        <f t="shared" si="10"/>
        <v>4.5535023842772047E-4</v>
      </c>
      <c r="M65">
        <f t="shared" si="11"/>
        <v>4.5205509048095713E-4</v>
      </c>
      <c r="N65">
        <f t="shared" si="12"/>
        <v>4.5531828825999359E-4</v>
      </c>
      <c r="O65" s="1">
        <f t="shared" si="13"/>
        <v>1.0474094179037634</v>
      </c>
      <c r="P65">
        <f t="shared" si="14"/>
        <v>2.364453892178431E-4</v>
      </c>
      <c r="Q65">
        <f t="shared" si="15"/>
        <v>2.3053357711013691E-4</v>
      </c>
      <c r="R65">
        <f t="shared" si="16"/>
        <v>2.3075491990099951E-4</v>
      </c>
      <c r="S65">
        <f t="shared" si="17"/>
        <v>2.250450461357606E-4</v>
      </c>
      <c r="T65">
        <f t="shared" si="18"/>
        <v>2.3067790489597942E-4</v>
      </c>
    </row>
    <row r="66" spans="1:20" x14ac:dyDescent="0.25">
      <c r="A66">
        <f t="shared" si="0"/>
        <v>4.3000000000000007</v>
      </c>
      <c r="B66">
        <f t="shared" si="19"/>
        <v>1.3575797940942207</v>
      </c>
      <c r="C66">
        <f t="shared" si="1"/>
        <v>1.0951944552725081</v>
      </c>
      <c r="D66">
        <f t="shared" si="2"/>
        <v>-3.8522613615867842E-4</v>
      </c>
      <c r="E66">
        <f t="shared" si="3"/>
        <v>-3.6622884702026682E-4</v>
      </c>
      <c r="F66">
        <f t="shared" si="4"/>
        <v>-3.6710780320374785E-4</v>
      </c>
      <c r="G66">
        <f t="shared" si="5"/>
        <v>-3.4876018940765974E-4</v>
      </c>
      <c r="H66">
        <f t="shared" si="6"/>
        <v>-3.6677660433572792E-4</v>
      </c>
      <c r="I66">
        <f t="shared" si="7"/>
        <v>1.0361018894802079</v>
      </c>
      <c r="J66">
        <f t="shared" si="8"/>
        <v>4.5205812831109707E-4</v>
      </c>
      <c r="K66">
        <f t="shared" si="9"/>
        <v>4.488555159994996E-4</v>
      </c>
      <c r="L66">
        <f t="shared" si="10"/>
        <v>4.4894043062254754E-4</v>
      </c>
      <c r="M66">
        <f t="shared" si="11"/>
        <v>4.4581535932232668E-4</v>
      </c>
      <c r="N66">
        <f t="shared" si="12"/>
        <v>4.4891089681291962E-4</v>
      </c>
      <c r="O66" s="1">
        <f t="shared" si="13"/>
        <v>1.0476400958086594</v>
      </c>
      <c r="P66">
        <f t="shared" si="14"/>
        <v>2.2505223142151032E-4</v>
      </c>
      <c r="Q66">
        <f t="shared" si="15"/>
        <v>2.1956520298996863E-4</v>
      </c>
      <c r="R66">
        <f t="shared" si="16"/>
        <v>2.1976958000062552E-4</v>
      </c>
      <c r="S66">
        <f t="shared" si="17"/>
        <v>2.1446918462640077E-4</v>
      </c>
      <c r="T66">
        <f t="shared" si="18"/>
        <v>2.196984970048499E-4</v>
      </c>
    </row>
    <row r="67" spans="1:20" x14ac:dyDescent="0.25">
      <c r="A67">
        <f t="shared" si="0"/>
        <v>4.4000000000000004</v>
      </c>
      <c r="B67">
        <f t="shared" si="19"/>
        <v>1.3601888512120153</v>
      </c>
      <c r="C67">
        <f t="shared" si="1"/>
        <v>1.0948276786681723</v>
      </c>
      <c r="D67">
        <f t="shared" si="2"/>
        <v>-3.4882766479915617E-4</v>
      </c>
      <c r="E67">
        <f t="shared" si="3"/>
        <v>-3.3132332197185479E-4</v>
      </c>
      <c r="F67">
        <f t="shared" si="4"/>
        <v>-3.3212495527275011E-4</v>
      </c>
      <c r="G67">
        <f t="shared" si="5"/>
        <v>-3.1522110408719331E-4</v>
      </c>
      <c r="H67">
        <f t="shared" si="6"/>
        <v>-3.3182422056259324E-4</v>
      </c>
      <c r="I67">
        <f t="shared" si="7"/>
        <v>1.0365508003770207</v>
      </c>
      <c r="J67">
        <f t="shared" si="8"/>
        <v>4.4581811892730958E-4</v>
      </c>
      <c r="K67">
        <f t="shared" si="9"/>
        <v>4.4277859880455586E-4</v>
      </c>
      <c r="L67">
        <f t="shared" si="10"/>
        <v>4.4285717908033938E-4</v>
      </c>
      <c r="M67">
        <f t="shared" si="11"/>
        <v>4.3988950559950741E-4</v>
      </c>
      <c r="N67">
        <f t="shared" si="12"/>
        <v>4.4282986338276789E-4</v>
      </c>
      <c r="O67" s="1">
        <f t="shared" si="13"/>
        <v>1.0478597943056642</v>
      </c>
      <c r="P67">
        <f t="shared" si="14"/>
        <v>2.1447573080845829E-4</v>
      </c>
      <c r="Q67">
        <f t="shared" si="15"/>
        <v>2.0938103384864626E-4</v>
      </c>
      <c r="R67">
        <f t="shared" si="16"/>
        <v>2.0956980819254734E-4</v>
      </c>
      <c r="S67">
        <f t="shared" si="17"/>
        <v>2.0464764649260337E-4</v>
      </c>
      <c r="T67">
        <f t="shared" si="18"/>
        <v>2.0950417689724146E-4</v>
      </c>
    </row>
    <row r="68" spans="1:20" x14ac:dyDescent="0.25">
      <c r="A68">
        <f t="shared" si="0"/>
        <v>4.5</v>
      </c>
      <c r="B68">
        <f t="shared" si="19"/>
        <v>1.3628029225235316</v>
      </c>
      <c r="C68">
        <f t="shared" si="1"/>
        <v>1.0944958544476098</v>
      </c>
      <c r="D68">
        <f t="shared" si="2"/>
        <v>-3.1528048723146186E-4</v>
      </c>
      <c r="E68">
        <f t="shared" si="3"/>
        <v>-2.9914761664304738E-4</v>
      </c>
      <c r="F68">
        <f t="shared" si="4"/>
        <v>-2.9987939140001534E-4</v>
      </c>
      <c r="G68">
        <f t="shared" si="5"/>
        <v>-2.8430172274473975E-4</v>
      </c>
      <c r="H68">
        <f t="shared" si="6"/>
        <v>-2.9960603767705451E-4</v>
      </c>
      <c r="I68">
        <f t="shared" si="7"/>
        <v>1.0369936302404035</v>
      </c>
      <c r="J68">
        <f t="shared" si="8"/>
        <v>4.3989201518512822E-4</v>
      </c>
      <c r="K68">
        <f t="shared" si="9"/>
        <v>4.3700348036338627E-4</v>
      </c>
      <c r="L68">
        <f t="shared" si="10"/>
        <v>4.3707623723907908E-4</v>
      </c>
      <c r="M68">
        <f t="shared" si="11"/>
        <v>4.3425430462604018E-4</v>
      </c>
      <c r="N68">
        <f t="shared" si="12"/>
        <v>4.3705095916934987E-4</v>
      </c>
      <c r="O68" s="1">
        <f t="shared" si="13"/>
        <v>1.0480692984825615</v>
      </c>
      <c r="P68">
        <f t="shared" si="14"/>
        <v>2.0465361619141366E-4</v>
      </c>
      <c r="Q68">
        <f t="shared" si="15"/>
        <v>1.9992139193920346E-4</v>
      </c>
      <c r="R68">
        <f t="shared" si="16"/>
        <v>2.0009580878420642E-4</v>
      </c>
      <c r="S68">
        <f t="shared" si="17"/>
        <v>1.9552312805052598E-4</v>
      </c>
      <c r="T68">
        <f t="shared" si="18"/>
        <v>2.0003519094812655E-4</v>
      </c>
    </row>
    <row r="69" spans="1:20" x14ac:dyDescent="0.25">
      <c r="A69">
        <f t="shared" si="0"/>
        <v>4.5999999999999996</v>
      </c>
      <c r="B69">
        <f t="shared" si="19"/>
        <v>1.3654220176685294</v>
      </c>
      <c r="C69">
        <f t="shared" si="1"/>
        <v>1.0941962484099328</v>
      </c>
      <c r="D69">
        <f t="shared" si="2"/>
        <v>-2.8435403104563054E-4</v>
      </c>
      <c r="E69">
        <f t="shared" si="3"/>
        <v>-2.6948184755664072E-4</v>
      </c>
      <c r="F69">
        <f t="shared" si="4"/>
        <v>-2.7015041214975002E-4</v>
      </c>
      <c r="G69">
        <f t="shared" si="5"/>
        <v>-2.5579170279073083E-4</v>
      </c>
      <c r="H69">
        <f t="shared" si="6"/>
        <v>-2.6990170887485711E-4</v>
      </c>
      <c r="I69">
        <f t="shared" si="7"/>
        <v>1.0374306811995728</v>
      </c>
      <c r="J69">
        <f t="shared" si="8"/>
        <v>4.3425658915925377E-4</v>
      </c>
      <c r="K69">
        <f t="shared" si="9"/>
        <v>4.3150790353697113E-4</v>
      </c>
      <c r="L69">
        <f t="shared" si="10"/>
        <v>4.3157530336132045E-4</v>
      </c>
      <c r="M69">
        <f t="shared" si="11"/>
        <v>4.2888838743559396E-4</v>
      </c>
      <c r="N69">
        <f t="shared" si="12"/>
        <v>4.3155189839857181E-4</v>
      </c>
      <c r="O69" s="1">
        <f t="shared" si="13"/>
        <v>1.0482693336735096</v>
      </c>
      <c r="P69">
        <f t="shared" si="14"/>
        <v>1.9552857693118375E-4</v>
      </c>
      <c r="Q69">
        <f t="shared" si="15"/>
        <v>1.9113133759521284E-4</v>
      </c>
      <c r="R69">
        <f t="shared" si="16"/>
        <v>1.9129253556802173E-4</v>
      </c>
      <c r="S69">
        <f t="shared" si="17"/>
        <v>1.8704286203317656E-4</v>
      </c>
      <c r="T69">
        <f t="shared" si="18"/>
        <v>1.9123653088180489E-4</v>
      </c>
    </row>
    <row r="70" spans="1:20" x14ac:dyDescent="0.25">
      <c r="A70">
        <f t="shared" si="0"/>
        <v>4.6999999999999993</v>
      </c>
      <c r="B70">
        <f t="shared" si="19"/>
        <v>1.3680461463039719</v>
      </c>
      <c r="C70">
        <f t="shared" si="1"/>
        <v>1.093926346701058</v>
      </c>
      <c r="D70">
        <f t="shared" si="2"/>
        <v>-2.5583781634885838E-4</v>
      </c>
      <c r="E70">
        <f t="shared" si="3"/>
        <v>-2.421251681584913E-4</v>
      </c>
      <c r="F70">
        <f t="shared" si="4"/>
        <v>-2.4273645639469877E-4</v>
      </c>
      <c r="G70">
        <f t="shared" si="5"/>
        <v>-2.2949881641141091E-4</v>
      </c>
      <c r="H70">
        <f t="shared" si="6"/>
        <v>-2.4250998031110824E-4</v>
      </c>
      <c r="I70">
        <f t="shared" si="7"/>
        <v>1.0378622330979714</v>
      </c>
      <c r="J70">
        <f t="shared" si="8"/>
        <v>4.2889046906361252E-4</v>
      </c>
      <c r="K70">
        <f t="shared" si="9"/>
        <v>4.2627138337190951E-4</v>
      </c>
      <c r="L70">
        <f t="shared" si="10"/>
        <v>4.2633385225400878E-4</v>
      </c>
      <c r="M70">
        <f t="shared" si="11"/>
        <v>4.2377208120244992E-4</v>
      </c>
      <c r="N70">
        <f t="shared" si="12"/>
        <v>4.2631217025298313E-4</v>
      </c>
      <c r="O70" s="1">
        <f t="shared" si="13"/>
        <v>1.0484605702043914</v>
      </c>
      <c r="P70">
        <f t="shared" si="14"/>
        <v>1.8704783968191696E-4</v>
      </c>
      <c r="Q70">
        <f t="shared" si="15"/>
        <v>1.8296026722350591E-4</v>
      </c>
      <c r="R70">
        <f t="shared" si="16"/>
        <v>1.8310928854270992E-4</v>
      </c>
      <c r="S70">
        <f t="shared" si="17"/>
        <v>1.7915823456330916E-4</v>
      </c>
      <c r="T70">
        <f t="shared" si="18"/>
        <v>1.8305753096294294E-4</v>
      </c>
    </row>
    <row r="71" spans="1:20" x14ac:dyDescent="0.25">
      <c r="A71">
        <f t="shared" si="0"/>
        <v>4.7999999999999989</v>
      </c>
      <c r="B71">
        <f t="shared" si="19"/>
        <v>1.3706753181045963</v>
      </c>
      <c r="C71">
        <f t="shared" si="1"/>
        <v>1.0936838367207469</v>
      </c>
      <c r="D71">
        <f t="shared" si="2"/>
        <v>-2.2953949767865467E-4</v>
      </c>
      <c r="E71">
        <f t="shared" si="3"/>
        <v>-2.1689393092447773E-4</v>
      </c>
      <c r="F71">
        <f t="shared" si="4"/>
        <v>-2.1745324931572442E-4</v>
      </c>
      <c r="G71">
        <f t="shared" si="5"/>
        <v>-2.0524721507388934E-4</v>
      </c>
      <c r="H71">
        <f t="shared" si="6"/>
        <v>-2.1724684553882471E-4</v>
      </c>
      <c r="I71">
        <f t="shared" si="7"/>
        <v>1.0382885452682244</v>
      </c>
      <c r="J71">
        <f t="shared" si="8"/>
        <v>4.2377397961179653E-4</v>
      </c>
      <c r="K71">
        <f t="shared" si="9"/>
        <v>4.2127505556116172E-4</v>
      </c>
      <c r="L71">
        <f t="shared" si="10"/>
        <v>4.2133298323848906E-4</v>
      </c>
      <c r="M71">
        <f t="shared" si="11"/>
        <v>4.1888726493275602E-4</v>
      </c>
      <c r="N71">
        <f t="shared" si="12"/>
        <v>4.2131288702397567E-4</v>
      </c>
      <c r="O71" s="1">
        <f t="shared" si="13"/>
        <v>1.0486436277353544</v>
      </c>
      <c r="P71">
        <f t="shared" si="14"/>
        <v>1.7916278524061636E-4</v>
      </c>
      <c r="Q71">
        <f t="shared" si="15"/>
        <v>1.753615490668381E-4</v>
      </c>
      <c r="R71">
        <f t="shared" si="16"/>
        <v>1.7549934856933569E-4</v>
      </c>
      <c r="S71">
        <f t="shared" si="17"/>
        <v>1.7182443784943547E-4</v>
      </c>
      <c r="T71">
        <f t="shared" si="18"/>
        <v>1.7545150306039989E-4</v>
      </c>
    </row>
    <row r="72" spans="1:20" x14ac:dyDescent="0.25">
      <c r="A72">
        <f t="shared" si="0"/>
        <v>4.8999999999999986</v>
      </c>
      <c r="B72">
        <f t="shared" si="19"/>
        <v>1.3733095427632664</v>
      </c>
      <c r="C72">
        <f t="shared" si="1"/>
        <v>1.0934665898752081</v>
      </c>
      <c r="D72">
        <f t="shared" si="2"/>
        <v>-2.0528312555025965E-4</v>
      </c>
      <c r="E72">
        <f t="shared" si="3"/>
        <v>-1.9362005327048238E-4</v>
      </c>
      <c r="F72">
        <f t="shared" si="4"/>
        <v>-1.9413215636197024E-4</v>
      </c>
      <c r="G72">
        <f t="shared" si="5"/>
        <v>-1.8287588467140738E-4</v>
      </c>
      <c r="H72">
        <f t="shared" si="6"/>
        <v>-1.9394390491442871E-4</v>
      </c>
      <c r="I72">
        <f t="shared" si="7"/>
        <v>1.0387098581552485</v>
      </c>
      <c r="J72">
        <f t="shared" si="8"/>
        <v>4.1888899765769047E-4</v>
      </c>
      <c r="K72">
        <f t="shared" si="9"/>
        <v>4.1650153928642043E-4</v>
      </c>
      <c r="L72">
        <f t="shared" si="10"/>
        <v>4.1655528256616029E-4</v>
      </c>
      <c r="M72">
        <f t="shared" si="11"/>
        <v>4.1421723874989131E-4</v>
      </c>
      <c r="N72">
        <f t="shared" si="12"/>
        <v>4.1653664668545726E-4</v>
      </c>
      <c r="O72" s="1">
        <f t="shared" si="13"/>
        <v>1.0488190792384147</v>
      </c>
      <c r="P72">
        <f t="shared" si="14"/>
        <v>1.718286011389736E-4</v>
      </c>
      <c r="Q72">
        <f t="shared" si="15"/>
        <v>1.6829219267273379E-4</v>
      </c>
      <c r="R72">
        <f t="shared" si="16"/>
        <v>1.6841964587389902E-4</v>
      </c>
      <c r="S72">
        <f t="shared" si="17"/>
        <v>1.6500015479782861E-4</v>
      </c>
      <c r="T72">
        <f t="shared" si="18"/>
        <v>1.6837540550501131E-4</v>
      </c>
    </row>
    <row r="73" spans="1:20" x14ac:dyDescent="0.25">
      <c r="A73">
        <f t="shared" si="0"/>
        <v>4.9999999999999982</v>
      </c>
      <c r="B73">
        <f t="shared" si="19"/>
        <v>1.3759488299911964</v>
      </c>
      <c r="C73">
        <f t="shared" si="1"/>
        <v>1.0932726459702937</v>
      </c>
      <c r="D73">
        <f t="shared" si="2"/>
        <v>-1.8290759911128164E-4</v>
      </c>
      <c r="E73">
        <f t="shared" si="3"/>
        <v>-1.7214956110693793E-4</v>
      </c>
      <c r="F73">
        <f t="shared" si="4"/>
        <v>-1.7261871664775441E-4</v>
      </c>
      <c r="G73">
        <f t="shared" si="5"/>
        <v>-1.6223726708348708E-4</v>
      </c>
      <c r="H73">
        <f t="shared" si="6"/>
        <v>-1.7244690361735887E-4</v>
      </c>
      <c r="I73">
        <f t="shared" si="7"/>
        <v>1.039126394801934</v>
      </c>
      <c r="J73">
        <f t="shared" si="8"/>
        <v>4.1421882143795167E-4</v>
      </c>
      <c r="K73">
        <f t="shared" si="9"/>
        <v>4.1193481287935137E-4</v>
      </c>
      <c r="L73">
        <f t="shared" si="10"/>
        <v>4.1198469870745377E-4</v>
      </c>
      <c r="M73">
        <f t="shared" si="11"/>
        <v>4.0974660531048474E-4</v>
      </c>
      <c r="N73">
        <f t="shared" si="12"/>
        <v>4.1196740832034114E-4</v>
      </c>
      <c r="O73" s="1">
        <f t="shared" si="13"/>
        <v>1.0489874546439197</v>
      </c>
      <c r="P73">
        <f t="shared" si="14"/>
        <v>1.6500396616681292E-4</v>
      </c>
      <c r="Q73">
        <f t="shared" si="15"/>
        <v>1.6171254851257423E-4</v>
      </c>
      <c r="R73">
        <f t="shared" si="16"/>
        <v>1.6183045882022518E-4</v>
      </c>
      <c r="S73">
        <f t="shared" si="17"/>
        <v>1.5864727220393229E-4</v>
      </c>
      <c r="T73">
        <f t="shared" si="18"/>
        <v>1.61789542172724E-4</v>
      </c>
    </row>
    <row r="74" spans="1:20" x14ac:dyDescent="0.25">
      <c r="A74">
        <f t="shared" si="0"/>
        <v>5.0999999999999979</v>
      </c>
      <c r="B74">
        <f t="shared" si="19"/>
        <v>1.3785931895180978</v>
      </c>
      <c r="C74">
        <f t="shared" si="1"/>
        <v>1.0931001990666764</v>
      </c>
      <c r="D74">
        <f t="shared" si="2"/>
        <v>-1.6226528559544208E-4</v>
      </c>
      <c r="E74">
        <f t="shared" si="3"/>
        <v>-1.5234128770700295E-4</v>
      </c>
      <c r="F74">
        <f t="shared" si="4"/>
        <v>-1.5277133317601611E-4</v>
      </c>
      <c r="G74">
        <f t="shared" si="5"/>
        <v>-1.4319602742833838E-4</v>
      </c>
      <c r="H74">
        <f t="shared" si="6"/>
        <v>-1.5261442579830311E-4</v>
      </c>
      <c r="I74">
        <f t="shared" si="7"/>
        <v>1.0395383622102543</v>
      </c>
      <c r="J74">
        <f t="shared" si="8"/>
        <v>4.0974805195162929E-4</v>
      </c>
      <c r="K74">
        <f t="shared" si="9"/>
        <v>4.0756010093551175E-4</v>
      </c>
      <c r="L74">
        <f t="shared" si="10"/>
        <v>4.0760642914007225E-4</v>
      </c>
      <c r="M74">
        <f t="shared" si="11"/>
        <v>4.0546116206991193E-4</v>
      </c>
      <c r="N74">
        <f t="shared" si="12"/>
        <v>4.0759037902878491E-4</v>
      </c>
      <c r="O74" s="1">
        <f t="shared" si="13"/>
        <v>1.0491492441860926</v>
      </c>
      <c r="P74">
        <f t="shared" si="14"/>
        <v>1.5865076348835772E-4</v>
      </c>
      <c r="Q74">
        <f t="shared" si="15"/>
        <v>1.5558603463007304E-4</v>
      </c>
      <c r="R74">
        <f t="shared" si="16"/>
        <v>1.556951398150791E-4</v>
      </c>
      <c r="S74">
        <f t="shared" si="17"/>
        <v>1.5273061959103496E-4</v>
      </c>
      <c r="T74">
        <f t="shared" si="18"/>
        <v>1.5565728866161614E-4</v>
      </c>
    </row>
    <row r="75" spans="1:20" x14ac:dyDescent="0.25">
      <c r="A75">
        <f t="shared" si="0"/>
        <v>5.1999999999999975</v>
      </c>
      <c r="B75">
        <f t="shared" si="19"/>
        <v>1.3812426310922845</v>
      </c>
      <c r="C75">
        <f t="shared" si="1"/>
        <v>1.092947584640878</v>
      </c>
      <c r="D75">
        <f t="shared" si="2"/>
        <v>-1.4322078580066843E-4</v>
      </c>
      <c r="E75">
        <f t="shared" si="3"/>
        <v>-1.3406570876677294E-4</v>
      </c>
      <c r="F75">
        <f t="shared" si="4"/>
        <v>-1.3446010051323398E-4</v>
      </c>
      <c r="G75">
        <f t="shared" si="5"/>
        <v>-1.256279492407586E-4</v>
      </c>
      <c r="H75">
        <f t="shared" si="6"/>
        <v>-1.3431672560024015E-4</v>
      </c>
      <c r="I75">
        <f t="shared" si="7"/>
        <v>1.0399459525892831</v>
      </c>
      <c r="J75">
        <f t="shared" si="8"/>
        <v>4.0546248519470114E-4</v>
      </c>
      <c r="K75">
        <f t="shared" si="9"/>
        <v>4.0336377168314307E-4</v>
      </c>
      <c r="L75">
        <f t="shared" si="10"/>
        <v>4.0340681743198037E-4</v>
      </c>
      <c r="M75">
        <f t="shared" si="11"/>
        <v>4.0134780327242018E-4</v>
      </c>
      <c r="N75">
        <f t="shared" si="12"/>
        <v>4.03391911116228E-4</v>
      </c>
      <c r="O75" s="1">
        <f t="shared" si="13"/>
        <v>1.0493049014747542</v>
      </c>
      <c r="P75">
        <f t="shared" si="14"/>
        <v>1.5273381941670883E-4</v>
      </c>
      <c r="Q75">
        <f t="shared" si="15"/>
        <v>1.4987888757195535E-4</v>
      </c>
      <c r="R75">
        <f t="shared" si="16"/>
        <v>1.4997986558392131E-4</v>
      </c>
      <c r="S75">
        <f t="shared" si="17"/>
        <v>1.4721773111138204E-4</v>
      </c>
      <c r="T75">
        <f t="shared" si="18"/>
        <v>1.4994484280664067E-4</v>
      </c>
    </row>
    <row r="76" spans="1:20" x14ac:dyDescent="0.25">
      <c r="A76">
        <f t="shared" si="0"/>
        <v>5.2999999999999972</v>
      </c>
      <c r="B76">
        <f t="shared" si="19"/>
        <v>1.3838971644807456</v>
      </c>
      <c r="C76">
        <f t="shared" si="1"/>
        <v>1.0928132679152778</v>
      </c>
      <c r="D76">
        <f t="shared" si="2"/>
        <v>-1.2564982776792634E-4</v>
      </c>
      <c r="E76">
        <f t="shared" si="3"/>
        <v>-1.1720389721761038E-4</v>
      </c>
      <c r="F76">
        <f t="shared" si="4"/>
        <v>-1.1756575328725205E-4</v>
      </c>
      <c r="G76">
        <f t="shared" si="5"/>
        <v>-1.0941894228846395E-4</v>
      </c>
      <c r="H76">
        <f t="shared" si="6"/>
        <v>-1.1743467851101918E-4</v>
      </c>
      <c r="I76">
        <f t="shared" si="7"/>
        <v>1.0403493445003993</v>
      </c>
      <c r="J76">
        <f t="shared" si="8"/>
        <v>4.0134901412382045E-4</v>
      </c>
      <c r="K76">
        <f t="shared" si="9"/>
        <v>3.9933324355358483E-4</v>
      </c>
      <c r="L76">
        <f t="shared" si="10"/>
        <v>3.9937325956037077E-4</v>
      </c>
      <c r="M76">
        <f t="shared" si="11"/>
        <v>3.9739443067553584E-4</v>
      </c>
      <c r="N76">
        <f t="shared" si="12"/>
        <v>3.993594085045446E-4</v>
      </c>
      <c r="O76" s="1">
        <f t="shared" si="13"/>
        <v>1.0494548463175608</v>
      </c>
      <c r="P76">
        <f t="shared" si="14"/>
        <v>1.4722066526014766E-4</v>
      </c>
      <c r="Q76">
        <f t="shared" si="15"/>
        <v>1.4455993517598908E-4</v>
      </c>
      <c r="R76">
        <f t="shared" si="16"/>
        <v>1.4465340938051851E-4</v>
      </c>
      <c r="S76">
        <f t="shared" si="17"/>
        <v>1.4207862822544494E-4</v>
      </c>
      <c r="T76">
        <f t="shared" si="18"/>
        <v>1.4462099709976794E-4</v>
      </c>
    </row>
    <row r="77" spans="1:20" x14ac:dyDescent="0.25">
      <c r="A77">
        <f t="shared" si="0"/>
        <v>5.3999999999999968</v>
      </c>
      <c r="B77">
        <f t="shared" si="19"/>
        <v>1.3865567994692072</v>
      </c>
      <c r="C77">
        <f t="shared" si="1"/>
        <v>1.0926958332367667</v>
      </c>
      <c r="D77">
        <f t="shared" si="2"/>
        <v>-1.0943827331661994E-4</v>
      </c>
      <c r="E77">
        <f t="shared" si="3"/>
        <v>-1.016465836306324E-4</v>
      </c>
      <c r="F77">
        <f t="shared" si="4"/>
        <v>-1.019787211661516E-4</v>
      </c>
      <c r="G77">
        <f t="shared" si="5"/>
        <v>-9.4464149815465259E-5</v>
      </c>
      <c r="H77">
        <f t="shared" si="6"/>
        <v>-1.0185883878760887E-4</v>
      </c>
      <c r="I77">
        <f t="shared" si="7"/>
        <v>1.0407487039089038</v>
      </c>
      <c r="J77">
        <f t="shared" si="8"/>
        <v>3.9739553935815063E-4</v>
      </c>
      <c r="K77">
        <f t="shared" si="9"/>
        <v>3.9545690002467038E-4</v>
      </c>
      <c r="L77">
        <f t="shared" si="10"/>
        <v>3.9549411853316964E-4</v>
      </c>
      <c r="M77">
        <f t="shared" si="11"/>
        <v>3.9358987213445056E-4</v>
      </c>
      <c r="N77">
        <f t="shared" si="12"/>
        <v>3.9548124143471352E-4</v>
      </c>
      <c r="O77" s="1">
        <f t="shared" si="13"/>
        <v>1.0495994673146605</v>
      </c>
      <c r="P77">
        <f t="shared" si="14"/>
        <v>1.4208131995448181E-4</v>
      </c>
      <c r="Q77">
        <f t="shared" si="15"/>
        <v>1.3960038907014362E-4</v>
      </c>
      <c r="R77">
        <f t="shared" si="16"/>
        <v>1.3968693297376766E-4</v>
      </c>
      <c r="S77">
        <f t="shared" si="17"/>
        <v>1.3728562113515808E-4</v>
      </c>
      <c r="T77">
        <f t="shared" si="18"/>
        <v>1.396569308629104E-4</v>
      </c>
    </row>
    <row r="78" spans="1:20" x14ac:dyDescent="0.25">
      <c r="A78">
        <f t="shared" si="0"/>
        <v>5.4999999999999964</v>
      </c>
      <c r="B78">
        <f t="shared" si="19"/>
        <v>1.3892215458621802</v>
      </c>
      <c r="C78">
        <f t="shared" si="1"/>
        <v>1.0925939743979791</v>
      </c>
      <c r="D78">
        <f t="shared" si="2"/>
        <v>-9.4481224211762091E-5</v>
      </c>
      <c r="E78">
        <f t="shared" si="3"/>
        <v>-8.7293309957736661E-5</v>
      </c>
      <c r="F78">
        <f t="shared" si="4"/>
        <v>-8.7598277944067607E-5</v>
      </c>
      <c r="G78">
        <f t="shared" si="5"/>
        <v>-8.0667143791579587E-5</v>
      </c>
      <c r="H78">
        <f t="shared" si="6"/>
        <v>-8.7488590634491687E-5</v>
      </c>
      <c r="I78">
        <f t="shared" si="7"/>
        <v>1.0411441851503385</v>
      </c>
      <c r="J78">
        <f t="shared" si="8"/>
        <v>3.9359088774445095E-4</v>
      </c>
      <c r="K78">
        <f t="shared" si="9"/>
        <v>3.9172401191621842E-4</v>
      </c>
      <c r="L78">
        <f t="shared" si="10"/>
        <v>3.9175864648828275E-4</v>
      </c>
      <c r="M78">
        <f t="shared" si="11"/>
        <v>3.8992380727254354E-4</v>
      </c>
      <c r="N78">
        <f t="shared" si="12"/>
        <v>3.9174666863766607E-4</v>
      </c>
      <c r="O78" s="1">
        <f t="shared" si="13"/>
        <v>1.0497391242455234</v>
      </c>
      <c r="P78">
        <f t="shared" si="14"/>
        <v>1.3728809145594213E-4</v>
      </c>
      <c r="Q78">
        <f t="shared" si="15"/>
        <v>1.3497365497880111E-4</v>
      </c>
      <c r="R78">
        <f t="shared" si="16"/>
        <v>1.3505379649899897E-4</v>
      </c>
      <c r="S78">
        <f t="shared" si="17"/>
        <v>1.3281312717278727E-4</v>
      </c>
      <c r="T78">
        <f t="shared" si="18"/>
        <v>1.3502602026405492E-4</v>
      </c>
    </row>
    <row r="79" spans="1:20" x14ac:dyDescent="0.25">
      <c r="A79">
        <f t="shared" si="0"/>
        <v>5.5999999999999961</v>
      </c>
      <c r="B79">
        <f t="shared" si="19"/>
        <v>1.3918914134830067</v>
      </c>
      <c r="C79">
        <f t="shared" si="1"/>
        <v>1.0925064858073446</v>
      </c>
      <c r="D79">
        <f t="shared" si="2"/>
        <v>-8.0682216490757244E-5</v>
      </c>
      <c r="E79">
        <f t="shared" si="3"/>
        <v>-7.4051665996854873E-5</v>
      </c>
      <c r="F79">
        <f t="shared" si="4"/>
        <v>-7.4331773981572982E-5</v>
      </c>
      <c r="G79">
        <f t="shared" si="5"/>
        <v>-6.7939198238597956E-5</v>
      </c>
      <c r="H79">
        <f t="shared" si="6"/>
        <v>-7.4231382447701818E-5</v>
      </c>
      <c r="I79">
        <f t="shared" si="7"/>
        <v>1.0415359318189761</v>
      </c>
      <c r="J79">
        <f t="shared" si="8"/>
        <v>3.8992473801101882E-4</v>
      </c>
      <c r="K79">
        <f t="shared" si="9"/>
        <v>3.8812466641004965E-4</v>
      </c>
      <c r="L79">
        <f t="shared" si="10"/>
        <v>3.8815691353956172E-4</v>
      </c>
      <c r="M79">
        <f t="shared" si="11"/>
        <v>3.8638669955148256E-4</v>
      </c>
      <c r="N79">
        <f t="shared" si="12"/>
        <v>3.8814576624362064E-4</v>
      </c>
      <c r="O79" s="1">
        <f t="shared" si="13"/>
        <v>1.0498741502657876</v>
      </c>
      <c r="P79">
        <f t="shared" si="14"/>
        <v>1.3281539509537866E-4</v>
      </c>
      <c r="Q79">
        <f t="shared" si="15"/>
        <v>1.3065515914204573E-4</v>
      </c>
      <c r="R79">
        <f t="shared" si="16"/>
        <v>1.3072938447242501E-4</v>
      </c>
      <c r="S79">
        <f t="shared" si="17"/>
        <v>1.2863750454430168E-4</v>
      </c>
      <c r="T79">
        <f t="shared" si="18"/>
        <v>1.3070366447810362E-4</v>
      </c>
    </row>
    <row r="80" spans="1:20" x14ac:dyDescent="0.25">
      <c r="A80">
        <f t="shared" si="0"/>
        <v>5.6999999999999957</v>
      </c>
      <c r="B80">
        <f t="shared" si="19"/>
        <v>1.3945664121739008</v>
      </c>
      <c r="C80">
        <f t="shared" si="1"/>
        <v>1.0924322544248968</v>
      </c>
      <c r="D80">
        <f t="shared" si="2"/>
        <v>-6.7952493009304512E-5</v>
      </c>
      <c r="E80">
        <f t="shared" si="3"/>
        <v>-6.1836599335141082E-5</v>
      </c>
      <c r="F80">
        <f t="shared" si="4"/>
        <v>-6.2093942682839304E-5</v>
      </c>
      <c r="G80">
        <f t="shared" si="5"/>
        <v>-5.6198631993975571E-5</v>
      </c>
      <c r="H80">
        <f t="shared" si="6"/>
        <v>-6.2002034839873466E-5</v>
      </c>
      <c r="I80">
        <f t="shared" si="7"/>
        <v>1.0419240775852197</v>
      </c>
      <c r="J80">
        <f t="shared" si="8"/>
        <v>3.8638755282352998E-4</v>
      </c>
      <c r="K80">
        <f t="shared" si="9"/>
        <v>3.846497021482196E-4</v>
      </c>
      <c r="L80">
        <f t="shared" si="10"/>
        <v>3.8467974272035654E-4</v>
      </c>
      <c r="M80">
        <f t="shared" si="11"/>
        <v>3.8296973413019689E-4</v>
      </c>
      <c r="N80">
        <f t="shared" si="12"/>
        <v>3.8466936278181319E-4</v>
      </c>
      <c r="O80" s="1">
        <f t="shared" si="13"/>
        <v>1.0500048539302658</v>
      </c>
      <c r="P80">
        <f t="shared" si="14"/>
        <v>1.2863958729170954E-4</v>
      </c>
      <c r="Q80">
        <f t="shared" si="15"/>
        <v>1.2662218933804926E-4</v>
      </c>
      <c r="R80">
        <f t="shared" si="16"/>
        <v>1.2669094645240687E-4</v>
      </c>
      <c r="S80">
        <f t="shared" si="17"/>
        <v>1.2473689999799865E-4</v>
      </c>
      <c r="T80">
        <f t="shared" si="18"/>
        <v>1.2666712647843673E-4</v>
      </c>
    </row>
    <row r="81" spans="1:20" x14ac:dyDescent="0.25">
      <c r="A81">
        <f t="shared" si="0"/>
        <v>5.7999999999999954</v>
      </c>
      <c r="B81">
        <f t="shared" si="19"/>
        <v>1.3972465517959867</v>
      </c>
      <c r="C81">
        <f t="shared" si="1"/>
        <v>1.0923702523900569</v>
      </c>
      <c r="D81">
        <f t="shared" si="2"/>
        <v>-5.6210345534601913E-5</v>
      </c>
      <c r="E81">
        <f t="shared" si="3"/>
        <v>-5.0569790716092913E-5</v>
      </c>
      <c r="F81">
        <f t="shared" si="4"/>
        <v>-5.08062728560077E-5</v>
      </c>
      <c r="G81">
        <f t="shared" si="5"/>
        <v>-4.5370213357731616E-5</v>
      </c>
      <c r="H81">
        <f t="shared" si="6"/>
        <v>-5.0722114339422465E-5</v>
      </c>
      <c r="I81">
        <f t="shared" si="7"/>
        <v>1.0423087469480015</v>
      </c>
      <c r="J81">
        <f t="shared" si="8"/>
        <v>3.8297051663172422E-4</v>
      </c>
      <c r="K81">
        <f t="shared" si="9"/>
        <v>3.8129064983393845E-4</v>
      </c>
      <c r="L81">
        <f t="shared" si="10"/>
        <v>3.8131865044661964E-4</v>
      </c>
      <c r="M81">
        <f t="shared" si="11"/>
        <v>3.7966476096845951E-4</v>
      </c>
      <c r="N81">
        <f t="shared" si="12"/>
        <v>3.8130897969354999E-4</v>
      </c>
      <c r="O81" s="1">
        <f t="shared" si="13"/>
        <v>1.0501315210567441</v>
      </c>
      <c r="P81">
        <f t="shared" si="14"/>
        <v>1.2473881319467474E-4</v>
      </c>
      <c r="Q81">
        <f t="shared" si="15"/>
        <v>1.2285374915929905E-4</v>
      </c>
      <c r="R81">
        <f t="shared" si="16"/>
        <v>1.2291745099283214E-4</v>
      </c>
      <c r="S81">
        <f t="shared" si="17"/>
        <v>1.2109110914026167E-4</v>
      </c>
      <c r="T81">
        <f t="shared" si="18"/>
        <v>1.2289538710653312E-4</v>
      </c>
    </row>
    <row r="82" spans="1:20" x14ac:dyDescent="0.25">
      <c r="A82">
        <f t="shared" si="0"/>
        <v>5.899999999999995</v>
      </c>
      <c r="B82">
        <f t="shared" si="19"/>
        <v>1.3999318422293381</v>
      </c>
      <c r="C82">
        <f t="shared" si="1"/>
        <v>1.0923195302757176</v>
      </c>
      <c r="D82">
        <f t="shared" si="2"/>
        <v>-4.5380518826121377E-5</v>
      </c>
      <c r="E82">
        <f t="shared" si="3"/>
        <v>-4.0179087790725992E-5</v>
      </c>
      <c r="F82">
        <f t="shared" si="4"/>
        <v>-4.03964398611123E-5</v>
      </c>
      <c r="G82">
        <f t="shared" si="5"/>
        <v>-3.5384620016554183E-5</v>
      </c>
      <c r="H82">
        <f t="shared" si="6"/>
        <v>-4.0319365691058684E-5</v>
      </c>
      <c r="I82">
        <f t="shared" si="7"/>
        <v>1.042690055927695</v>
      </c>
      <c r="J82">
        <f t="shared" si="8"/>
        <v>3.7966547876237258E-4</v>
      </c>
      <c r="K82">
        <f t="shared" si="9"/>
        <v>3.7803967782159566E-4</v>
      </c>
      <c r="L82">
        <f t="shared" si="10"/>
        <v>3.7806579198390632E-4</v>
      </c>
      <c r="M82">
        <f t="shared" si="11"/>
        <v>3.7646424268875794E-4</v>
      </c>
      <c r="N82">
        <f t="shared" si="12"/>
        <v>3.7805677684368908E-4</v>
      </c>
      <c r="O82" s="1">
        <f t="shared" si="13"/>
        <v>1.0502544164438508</v>
      </c>
      <c r="P82">
        <f t="shared" si="14"/>
        <v>1.2109286697817024E-4</v>
      </c>
      <c r="Q82">
        <f t="shared" si="15"/>
        <v>1.1933042433445452E-4</v>
      </c>
      <c r="R82">
        <f t="shared" si="16"/>
        <v>1.1938945167576376E-4</v>
      </c>
      <c r="S82">
        <f t="shared" si="17"/>
        <v>1.1768144825266281E-4</v>
      </c>
      <c r="T82">
        <f t="shared" si="18"/>
        <v>1.1936901120854493E-4</v>
      </c>
    </row>
    <row r="83" spans="1:20" x14ac:dyDescent="0.25">
      <c r="A83">
        <f t="shared" si="0"/>
        <v>5.9999999999999947</v>
      </c>
      <c r="B83">
        <f t="shared" si="19"/>
        <v>1.4026222933730144</v>
      </c>
      <c r="C83">
        <f t="shared" si="1"/>
        <v>1.0922792109100266</v>
      </c>
      <c r="D83">
        <f t="shared" si="2"/>
        <v>-3.5393670069794327E-5</v>
      </c>
      <c r="E83">
        <f t="shared" si="3"/>
        <v>-3.0597991065839379E-5</v>
      </c>
      <c r="F83">
        <f t="shared" si="4"/>
        <v>-3.0797789285230696E-5</v>
      </c>
      <c r="G83">
        <f t="shared" si="5"/>
        <v>-2.6177948450278876E-5</v>
      </c>
      <c r="H83">
        <f t="shared" si="6"/>
        <v>-3.0727196537035553E-5</v>
      </c>
      <c r="I83">
        <f t="shared" si="7"/>
        <v>1.0430681127045387</v>
      </c>
      <c r="J83">
        <f t="shared" si="8"/>
        <v>3.7646490127198214E-4</v>
      </c>
      <c r="K83">
        <f t="shared" si="9"/>
        <v>3.7488954223660002E-4</v>
      </c>
      <c r="L83">
        <f t="shared" si="10"/>
        <v>3.7491391145710049E-4</v>
      </c>
      <c r="M83">
        <f t="shared" si="11"/>
        <v>3.7336120676130334E-4</v>
      </c>
      <c r="N83">
        <f t="shared" si="12"/>
        <v>3.7490550257011435E-4</v>
      </c>
      <c r="O83" s="1">
        <f t="shared" si="13"/>
        <v>1.0503737854550592</v>
      </c>
      <c r="P83">
        <f t="shared" si="14"/>
        <v>1.1768306363799108E-4</v>
      </c>
      <c r="Q83">
        <f t="shared" si="15"/>
        <v>1.1603426001204898E-4</v>
      </c>
      <c r="R83">
        <f t="shared" si="16"/>
        <v>1.1608896413551896E-4</v>
      </c>
      <c r="S83">
        <f t="shared" si="17"/>
        <v>1.1449063658189874E-4</v>
      </c>
      <c r="T83">
        <f t="shared" si="18"/>
        <v>1.1607002475250428E-4</v>
      </c>
    </row>
    <row r="84" spans="1:20" x14ac:dyDescent="0.25">
      <c r="A84">
        <f t="shared" si="0"/>
        <v>6.0999999999999943</v>
      </c>
      <c r="B84">
        <f t="shared" si="19"/>
        <v>1.4053179151450996</v>
      </c>
      <c r="C84">
        <f t="shared" si="1"/>
        <v>1.0922484837134896</v>
      </c>
      <c r="D84">
        <f t="shared" si="2"/>
        <v>-2.6185877868734053E-5</v>
      </c>
      <c r="E84">
        <f t="shared" si="3"/>
        <v>-2.1765186628464052E-5</v>
      </c>
      <c r="F84">
        <f t="shared" si="4"/>
        <v>-2.1948867699173039E-5</v>
      </c>
      <c r="G84">
        <f t="shared" si="5"/>
        <v>-1.7691267699859737E-5</v>
      </c>
      <c r="H84">
        <f t="shared" si="6"/>
        <v>-2.1884209037311328E-5</v>
      </c>
      <c r="I84">
        <f t="shared" si="7"/>
        <v>1.0434430182071088</v>
      </c>
      <c r="J84">
        <f t="shared" si="8"/>
        <v>3.7336181112381287E-4</v>
      </c>
      <c r="K84">
        <f t="shared" si="9"/>
        <v>3.71833541213416E-4</v>
      </c>
      <c r="L84">
        <f t="shared" si="10"/>
        <v>3.7185629598981783E-4</v>
      </c>
      <c r="M84">
        <f t="shared" si="11"/>
        <v>3.7034920162159259E-4</v>
      </c>
      <c r="N84">
        <f t="shared" si="12"/>
        <v>3.718484478586455E-4</v>
      </c>
      <c r="O84" s="1">
        <f t="shared" si="13"/>
        <v>1.0504898554798117</v>
      </c>
      <c r="P84">
        <f t="shared" si="14"/>
        <v>1.144921212647393E-4</v>
      </c>
      <c r="Q84">
        <f t="shared" si="15"/>
        <v>1.1294864803148564E-4</v>
      </c>
      <c r="R84">
        <f t="shared" si="16"/>
        <v>1.1299935309625198E-4</v>
      </c>
      <c r="S84">
        <f t="shared" si="17"/>
        <v>1.1150268817649579E-4</v>
      </c>
      <c r="T84">
        <f t="shared" si="18"/>
        <v>1.129818019494517E-4</v>
      </c>
    </row>
    <row r="85" spans="1:20" x14ac:dyDescent="0.25">
      <c r="A85">
        <f t="shared" si="0"/>
        <v>6.199999999999994</v>
      </c>
      <c r="B85">
        <f t="shared" si="19"/>
        <v>1.4080187174827377</v>
      </c>
      <c r="C85">
        <f t="shared" si="1"/>
        <v>1.0922265995044522</v>
      </c>
      <c r="D85">
        <f t="shared" si="2"/>
        <v>-1.7698195656379311E-5</v>
      </c>
      <c r="E85">
        <f t="shared" si="3"/>
        <v>-1.3624120856370325E-5</v>
      </c>
      <c r="F85">
        <f t="shared" si="4"/>
        <v>-1.3792995639416716E-5</v>
      </c>
      <c r="G85">
        <f t="shared" si="5"/>
        <v>-9.8702130099326282E-6</v>
      </c>
      <c r="H85">
        <f t="shared" si="6"/>
        <v>-1.3733773609647671E-5</v>
      </c>
      <c r="I85">
        <f t="shared" si="7"/>
        <v>1.0438148666549674</v>
      </c>
      <c r="J85">
        <f t="shared" si="8"/>
        <v>3.7034975629855917E-4</v>
      </c>
      <c r="K85">
        <f t="shared" si="9"/>
        <v>3.6886547288233167E-4</v>
      </c>
      <c r="L85">
        <f t="shared" si="10"/>
        <v>3.6888673360250922E-4</v>
      </c>
      <c r="M85">
        <f t="shared" si="11"/>
        <v>3.6742225636985878E-4</v>
      </c>
      <c r="N85">
        <f t="shared" si="12"/>
        <v>3.6887940427301656E-4</v>
      </c>
      <c r="O85" s="1">
        <f t="shared" si="13"/>
        <v>1.0506028372817611</v>
      </c>
      <c r="P85">
        <f t="shared" si="14"/>
        <v>1.1150405286588506E-4</v>
      </c>
      <c r="Q85">
        <f t="shared" si="15"/>
        <v>1.1005822330399096E-4</v>
      </c>
      <c r="R85">
        <f t="shared" si="16"/>
        <v>1.101052285426063E-4</v>
      </c>
      <c r="S85">
        <f t="shared" si="17"/>
        <v>1.0870281243638148E-4</v>
      </c>
      <c r="T85">
        <f t="shared" si="18"/>
        <v>1.1008896149924351E-4</v>
      </c>
    </row>
    <row r="86" spans="1:20" x14ac:dyDescent="0.25">
      <c r="A86">
        <f t="shared" si="0"/>
        <v>6.2999999999999936</v>
      </c>
      <c r="B86">
        <f t="shared" si="19"/>
        <v>1.4107247103421698</v>
      </c>
      <c r="C86">
        <f t="shared" si="1"/>
        <v>1.0922128657308425</v>
      </c>
      <c r="D86">
        <f t="shared" si="2"/>
        <v>-9.8762450284617387E-6</v>
      </c>
      <c r="E86">
        <f t="shared" si="3"/>
        <v>-6.1226128859281919E-6</v>
      </c>
      <c r="F86">
        <f t="shared" si="4"/>
        <v>-6.2778785731687499E-6</v>
      </c>
      <c r="G86">
        <f t="shared" si="5"/>
        <v>-2.6646153467702052E-6</v>
      </c>
      <c r="H86">
        <f t="shared" si="6"/>
        <v>-6.2236405489043044E-6</v>
      </c>
      <c r="I86">
        <f t="shared" si="7"/>
        <v>1.0441837460592405</v>
      </c>
      <c r="J86">
        <f t="shared" si="8"/>
        <v>3.6742276548775576E-4</v>
      </c>
      <c r="K86">
        <f t="shared" si="9"/>
        <v>3.6597959677253135E-4</v>
      </c>
      <c r="L86">
        <f t="shared" si="10"/>
        <v>3.6599947453581179E-4</v>
      </c>
      <c r="M86">
        <f t="shared" si="11"/>
        <v>3.6457484373647223E-4</v>
      </c>
      <c r="N86">
        <f t="shared" si="12"/>
        <v>3.6599262530681901E-4</v>
      </c>
      <c r="O86" s="1">
        <f t="shared" si="13"/>
        <v>1.0507129262432604</v>
      </c>
      <c r="P86">
        <f t="shared" si="14"/>
        <v>1.0870406690244029E-4</v>
      </c>
      <c r="Q86">
        <f t="shared" si="15"/>
        <v>1.0734876851203057E-4</v>
      </c>
      <c r="R86">
        <f t="shared" si="16"/>
        <v>1.0739235022928229E-4</v>
      </c>
      <c r="S86">
        <f t="shared" si="17"/>
        <v>1.0607732262200299E-4</v>
      </c>
      <c r="T86">
        <f t="shared" si="18"/>
        <v>1.0737727116784484E-4</v>
      </c>
    </row>
    <row r="87" spans="1:20" x14ac:dyDescent="0.25">
      <c r="A87">
        <f t="shared" si="0"/>
        <v>6.3999999999999932</v>
      </c>
      <c r="B87">
        <f t="shared" si="19"/>
        <v>1.4134359036987711</v>
      </c>
      <c r="C87">
        <f t="shared" si="1"/>
        <v>1.0922066420902936</v>
      </c>
      <c r="D87">
        <f t="shared" si="2"/>
        <v>-2.6698450034778889E-6</v>
      </c>
      <c r="E87">
        <f t="shared" si="3"/>
        <v>7.8749889249607467E-7</v>
      </c>
      <c r="F87">
        <f t="shared" si="4"/>
        <v>6.4474793637359085E-7</v>
      </c>
      <c r="G87">
        <f t="shared" si="5"/>
        <v>3.9718367225383138E-6</v>
      </c>
      <c r="H87">
        <f t="shared" si="6"/>
        <v>6.9441422946662592E-7</v>
      </c>
      <c r="I87">
        <f t="shared" si="7"/>
        <v>1.0445497386845473</v>
      </c>
      <c r="J87">
        <f t="shared" si="8"/>
        <v>3.6457531105395962E-4</v>
      </c>
      <c r="K87">
        <f t="shared" si="9"/>
        <v>3.6317059833203985E-4</v>
      </c>
      <c r="L87">
        <f t="shared" si="10"/>
        <v>3.6318919569860276E-4</v>
      </c>
      <c r="M87">
        <f t="shared" si="11"/>
        <v>3.6180184602857893E-4</v>
      </c>
      <c r="N87">
        <f t="shared" si="12"/>
        <v>3.63182790857304E-4</v>
      </c>
      <c r="O87" s="1">
        <f t="shared" si="13"/>
        <v>1.0508203035144283</v>
      </c>
      <c r="P87">
        <f t="shared" si="14"/>
        <v>1.0607847578680829E-4</v>
      </c>
      <c r="Q87">
        <f t="shared" si="15"/>
        <v>1.0480712641174617E-4</v>
      </c>
      <c r="R87">
        <f t="shared" si="16"/>
        <v>1.0484753981200579E-4</v>
      </c>
      <c r="S87">
        <f t="shared" si="17"/>
        <v>1.0361355164190678E-4</v>
      </c>
      <c r="T87">
        <f t="shared" si="18"/>
        <v>1.0483355997936982E-4</v>
      </c>
    </row>
    <row r="88" spans="1:20" x14ac:dyDescent="0.25">
      <c r="A88">
        <f t="shared" si="0"/>
        <v>6.4999999999999929</v>
      </c>
      <c r="B88">
        <f t="shared" si="19"/>
        <v>1.4161523075470885</v>
      </c>
      <c r="C88">
        <f t="shared" si="1"/>
        <v>1.0922073365045231</v>
      </c>
      <c r="D88">
        <f t="shared" si="2"/>
        <v>3.9673263278139364E-6</v>
      </c>
      <c r="E88">
        <f t="shared" si="3"/>
        <v>7.1506796506248804E-6</v>
      </c>
      <c r="F88">
        <f t="shared" si="4"/>
        <v>7.0194421980751547E-6</v>
      </c>
      <c r="G88">
        <f t="shared" si="5"/>
        <v>1.0081905939873792E-5</v>
      </c>
      <c r="H88">
        <f t="shared" si="6"/>
        <v>7.0649126608479669E-6</v>
      </c>
      <c r="I88">
        <f t="shared" si="7"/>
        <v>1.0449129214754045</v>
      </c>
      <c r="J88">
        <f t="shared" si="8"/>
        <v>3.6180227497275712E-4</v>
      </c>
      <c r="K88">
        <f t="shared" si="9"/>
        <v>3.6043355629418981E-4</v>
      </c>
      <c r="L88">
        <f t="shared" si="10"/>
        <v>3.6045096796959576E-4</v>
      </c>
      <c r="M88">
        <f t="shared" si="11"/>
        <v>3.5909852380060599E-4</v>
      </c>
      <c r="N88">
        <f t="shared" si="12"/>
        <v>3.6044497455015566E-4</v>
      </c>
      <c r="O88" s="1">
        <f t="shared" si="13"/>
        <v>1.0509251370744077</v>
      </c>
      <c r="P88">
        <f t="shared" si="14"/>
        <v>1.036146116604686E-4</v>
      </c>
      <c r="Q88">
        <f t="shared" si="15"/>
        <v>1.0242111909138652E-4</v>
      </c>
      <c r="R88">
        <f t="shared" si="16"/>
        <v>1.0245859995062224E-4</v>
      </c>
      <c r="S88">
        <f t="shared" si="17"/>
        <v>1.0129977450194228E-4</v>
      </c>
      <c r="T88">
        <f t="shared" si="18"/>
        <v>1.0244563737440473E-4</v>
      </c>
    </row>
    <row r="89" spans="1:20" x14ac:dyDescent="0.25">
      <c r="A89">
        <f t="shared" ref="A89:A121" si="20">A88+$C$8</f>
        <v>6.5999999999999925</v>
      </c>
      <c r="B89">
        <f t="shared" ref="B89:B121" si="21">(1/(1-$A$8))*EXP(0.0768*$A$8*A89/(1-$A$8))-($A$8/(1-$A$8))*EXP(-1000*$B$8*(1-$A$8)*A89)</f>
        <v>1.4188739319008756</v>
      </c>
      <c r="C89">
        <f t="shared" ref="C89:C121" si="22">C88+H88</f>
        <v>1.092214401417184</v>
      </c>
      <c r="D89">
        <f t="shared" ref="D89:D121" si="23">(1000*($B$8*($A$8-1)-$D$8*0.02*(O89-1))*C89+6.5*I89)*$C$8</f>
        <v>1.007804090500386E-5</v>
      </c>
      <c r="E89">
        <f t="shared" ref="E89:E121" si="24">(1000*($B$8*($A$8-1)-$D$8*0.02*(O89+P89/2-1))*(C89+D89/2)+6.5*(I89+J89/2))*$C$8</f>
        <v>1.3007993183311585E-5</v>
      </c>
      <c r="F89">
        <f t="shared" ref="F89:F121" si="25">(1000*($B$8*($A$8-1)-$D$8*0.02*(O89+Q89/2-1))*(C89+E89/2)+6.5*(I89+K89/2))*$C$8</f>
        <v>1.2887352481349979E-5</v>
      </c>
      <c r="G89">
        <f t="shared" ref="G89:G121" si="26">(1000*($B$8*($A$8-1)-$D$8*0.02*(O89+R89-1))*(C89+F89)+6.5*(I89+L89))*$C$8</f>
        <v>1.5705088838480209E-5</v>
      </c>
      <c r="H89">
        <f t="shared" ref="H89:H121" si="27">(1/6)*(D89+2*E89+2*F89+G89)</f>
        <v>1.2928970178801199E-5</v>
      </c>
      <c r="I89">
        <f t="shared" ref="I89:I121" si="28">I88+N88</f>
        <v>1.0452733664499547</v>
      </c>
      <c r="J89">
        <f t="shared" ref="J89:J121" si="29">0.0765*(C89-I89)*$C$8</f>
        <v>3.5909891749930366E-4</v>
      </c>
      <c r="K89">
        <f t="shared" ref="K89:K121" si="30">0.0765*((C89+D89/2)-(I89+J89/2))*$C$8</f>
        <v>3.5776391264632926E-4</v>
      </c>
      <c r="L89">
        <f t="shared" ref="L89:L121" si="31">0.0765*((C89+E89/2)-(I89+K89/2))*$C$8</f>
        <v>3.5778022610735878E-4</v>
      </c>
      <c r="M89">
        <f t="shared" ref="M89:M121" si="32">0.0765*((C89+F89)-(I89+L89))*$C$8</f>
        <v>3.5646048701606442E-4</v>
      </c>
      <c r="N89">
        <f t="shared" ref="N89:N121" si="33">(1/6)*(J89+2*K89+2*L89+M89)</f>
        <v>3.5777461367045733E-4</v>
      </c>
      <c r="O89" s="1">
        <f t="shared" ref="O89:O121" si="34">O88+T88</f>
        <v>1.0510275827117821</v>
      </c>
      <c r="P89">
        <f t="shared" ref="P89:P121" si="35">(0.147*(C89)-0.236*(O89-0.375))*$C$8</f>
        <v>1.0130074883454854E-4</v>
      </c>
      <c r="Q89">
        <f t="shared" ref="Q89:Q121" si="36">(0.147*(C89+D89/2)-0.236*(O89+P89/2 -0.375))*$C$8</f>
        <v>1.0017947359894919E-4</v>
      </c>
      <c r="R89">
        <f t="shared" ref="R89:R121" si="37">(0.147*(C89+E89/2)-0.236*(O89+Q89/2 -0.375))*$C$8</f>
        <v>1.0021423979597877E-4</v>
      </c>
      <c r="S89">
        <f t="shared" ref="S89:S121" si="38">(0.147*(C89+F89)-0.236*(O89+R89 -0.375))*$C$8</f>
        <v>9.912513685683966E-5</v>
      </c>
      <c r="T89">
        <f t="shared" ref="T89:T121" si="39">(1/6)*(P89 +2*Q89+2*R89+S89)</f>
        <v>1.0020221874687402E-4</v>
      </c>
    </row>
    <row r="90" spans="1:20" x14ac:dyDescent="0.25">
      <c r="A90">
        <f t="shared" si="20"/>
        <v>6.6999999999999922</v>
      </c>
      <c r="B90">
        <f t="shared" si="21"/>
        <v>1.4216007867931322</v>
      </c>
      <c r="C90">
        <f t="shared" si="22"/>
        <v>1.0922273303873629</v>
      </c>
      <c r="D90">
        <f t="shared" si="23"/>
        <v>1.5701803346068745E-5</v>
      </c>
      <c r="E90">
        <f t="shared" si="24"/>
        <v>1.839737186095647E-5</v>
      </c>
      <c r="F90">
        <f t="shared" si="25"/>
        <v>1.8286487867591463E-5</v>
      </c>
      <c r="G90">
        <f t="shared" si="26"/>
        <v>2.0877874280955666E-5</v>
      </c>
      <c r="H90">
        <f t="shared" si="27"/>
        <v>1.8324566180686711E-5</v>
      </c>
      <c r="I90">
        <f t="shared" si="28"/>
        <v>1.0456311410636252</v>
      </c>
      <c r="J90">
        <f t="shared" si="29"/>
        <v>3.5646084832659307E-4</v>
      </c>
      <c r="K90">
        <f t="shared" si="30"/>
        <v>3.5515744497954208E-4</v>
      </c>
      <c r="L90">
        <f t="shared" si="31"/>
        <v>3.5517274104691459E-4</v>
      </c>
      <c r="M90">
        <f t="shared" si="32"/>
        <v>3.5388366848977063E-4</v>
      </c>
      <c r="N90">
        <f t="shared" si="33"/>
        <v>3.5516748147821281E-4</v>
      </c>
      <c r="O90" s="1">
        <f t="shared" si="34"/>
        <v>1.0511277849305289</v>
      </c>
      <c r="P90">
        <f t="shared" si="35"/>
        <v>9.9126032333751724E-5</v>
      </c>
      <c r="Q90">
        <f t="shared" si="36"/>
        <v>9.8071753406803189E-5</v>
      </c>
      <c r="R90">
        <f t="shared" si="37"/>
        <v>9.8104006326729676E-5</v>
      </c>
      <c r="S90">
        <f t="shared" si="38"/>
        <v>9.7079589156090501E-5</v>
      </c>
      <c r="T90">
        <f t="shared" si="39"/>
        <v>9.8092856826151312E-5</v>
      </c>
    </row>
    <row r="91" spans="1:20" x14ac:dyDescent="0.25">
      <c r="A91">
        <f t="shared" si="20"/>
        <v>6.7999999999999918</v>
      </c>
      <c r="B91">
        <f t="shared" si="21"/>
        <v>1.4243328822761392</v>
      </c>
      <c r="C91">
        <f t="shared" si="22"/>
        <v>1.0922456549535435</v>
      </c>
      <c r="D91">
        <f t="shared" si="23"/>
        <v>2.0875109634932445E-5</v>
      </c>
      <c r="E91">
        <f t="shared" si="24"/>
        <v>2.3353863813824206E-5</v>
      </c>
      <c r="F91">
        <f t="shared" si="25"/>
        <v>2.3251966228166055E-5</v>
      </c>
      <c r="G91">
        <f t="shared" si="26"/>
        <v>2.563398029922226E-5</v>
      </c>
      <c r="H91">
        <f t="shared" si="27"/>
        <v>2.3286791669689202E-5</v>
      </c>
      <c r="I91">
        <f t="shared" si="28"/>
        <v>1.0459863085451033</v>
      </c>
      <c r="J91">
        <f t="shared" si="29"/>
        <v>3.5388400002456759E-4</v>
      </c>
      <c r="K91">
        <f t="shared" si="30"/>
        <v>3.5261024101882708E-4</v>
      </c>
      <c r="L91">
        <f t="shared" si="31"/>
        <v>3.5262459438175828E-4</v>
      </c>
      <c r="M91">
        <f t="shared" si="32"/>
        <v>3.5136429941919355E-4</v>
      </c>
      <c r="N91">
        <f t="shared" si="33"/>
        <v>3.5261966170748859E-4</v>
      </c>
      <c r="O91" s="1">
        <f t="shared" si="34"/>
        <v>1.0512258777873551</v>
      </c>
      <c r="P91">
        <f t="shared" si="35"/>
        <v>9.7080412035507885E-5</v>
      </c>
      <c r="Q91">
        <f t="shared" si="36"/>
        <v>9.6088295229307397E-5</v>
      </c>
      <c r="R91">
        <f t="shared" si="37"/>
        <v>9.6118221050833796E-5</v>
      </c>
      <c r="S91">
        <f t="shared" si="38"/>
        <v>9.5153825922264515E-5</v>
      </c>
      <c r="T91">
        <f t="shared" si="39"/>
        <v>9.6107878419675791E-5</v>
      </c>
    </row>
    <row r="92" spans="1:20" x14ac:dyDescent="0.25">
      <c r="A92">
        <f t="shared" si="20"/>
        <v>6.8999999999999915</v>
      </c>
      <c r="B92">
        <f t="shared" si="21"/>
        <v>1.4270702284214962</v>
      </c>
      <c r="C92">
        <f t="shared" si="22"/>
        <v>1.0922689417452132</v>
      </c>
      <c r="D92">
        <f t="shared" si="23"/>
        <v>2.5631684078586406E-5</v>
      </c>
      <c r="E92">
        <f t="shared" si="24"/>
        <v>2.7909859448804754E-5</v>
      </c>
      <c r="F92">
        <f t="shared" si="25"/>
        <v>2.781624144949646E-5</v>
      </c>
      <c r="G92">
        <f t="shared" si="26"/>
        <v>3.0004571198904984E-5</v>
      </c>
      <c r="H92">
        <f t="shared" si="27"/>
        <v>2.7848076179015636E-5</v>
      </c>
      <c r="I92">
        <f t="shared" si="28"/>
        <v>1.0463389282068107</v>
      </c>
      <c r="J92">
        <f t="shared" si="29"/>
        <v>3.5136460356877857E-4</v>
      </c>
      <c r="K92">
        <f t="shared" si="30"/>
        <v>3.5011867515172886E-4</v>
      </c>
      <c r="L92">
        <f t="shared" si="31"/>
        <v>3.501321548487159E-4</v>
      </c>
      <c r="M92">
        <f t="shared" si="32"/>
        <v>3.4889888683127507E-4</v>
      </c>
      <c r="N92">
        <f t="shared" si="33"/>
        <v>3.5012752506682383E-4</v>
      </c>
      <c r="O92" s="1">
        <f t="shared" si="34"/>
        <v>1.0513219856657747</v>
      </c>
      <c r="P92">
        <f t="shared" si="35"/>
        <v>9.5154581942349944E-5</v>
      </c>
      <c r="Q92">
        <f t="shared" si="36"/>
        <v>9.4220150753410178E-5</v>
      </c>
      <c r="R92">
        <f t="shared" si="37"/>
        <v>9.4247921630408188E-5</v>
      </c>
      <c r="S92">
        <f t="shared" si="38"/>
        <v>9.333922974118225E-5</v>
      </c>
      <c r="T92">
        <f t="shared" si="39"/>
        <v>9.4238326075194814E-5</v>
      </c>
    </row>
    <row r="93" spans="1:20" x14ac:dyDescent="0.25">
      <c r="A93">
        <f t="shared" si="20"/>
        <v>6.9999999999999911</v>
      </c>
      <c r="B93">
        <f t="shared" si="21"/>
        <v>1.4298128353201593</v>
      </c>
      <c r="C93">
        <f t="shared" si="22"/>
        <v>1.0922967898213922</v>
      </c>
      <c r="D93">
        <f t="shared" si="23"/>
        <v>3.0002696526043594E-5</v>
      </c>
      <c r="E93">
        <f t="shared" si="24"/>
        <v>3.2095299190171292E-5</v>
      </c>
      <c r="F93">
        <f t="shared" si="25"/>
        <v>3.2009311794833907E-5</v>
      </c>
      <c r="G93">
        <f t="shared" si="26"/>
        <v>3.4018456742312962E-5</v>
      </c>
      <c r="H93">
        <f t="shared" si="27"/>
        <v>3.203839587306116E-5</v>
      </c>
      <c r="I93">
        <f t="shared" si="28"/>
        <v>1.0466890557318775</v>
      </c>
      <c r="J93">
        <f t="shared" si="29"/>
        <v>3.4889916578478733E-4</v>
      </c>
      <c r="K93">
        <f t="shared" si="30"/>
        <v>3.476793867898722E-4</v>
      </c>
      <c r="L93">
        <f t="shared" si="31"/>
        <v>3.4769205664971853E-4</v>
      </c>
      <c r="M93">
        <f t="shared" si="32"/>
        <v>3.4648419278664877E-4</v>
      </c>
      <c r="N93">
        <f t="shared" si="33"/>
        <v>3.476877075751029E-4</v>
      </c>
      <c r="O93" s="1">
        <f t="shared" si="34"/>
        <v>1.0514162239918499</v>
      </c>
      <c r="P93">
        <f t="shared" si="35"/>
        <v>9.3339924166807597E-5</v>
      </c>
      <c r="Q93">
        <f t="shared" si="36"/>
        <v>9.2459032881106465E-5</v>
      </c>
      <c r="R93">
        <f t="shared" si="37"/>
        <v>9.2484808027862303E-5</v>
      </c>
      <c r="S93">
        <f t="shared" si="38"/>
        <v>9.1627819580733516E-5</v>
      </c>
      <c r="T93">
        <f t="shared" si="39"/>
        <v>9.2475904260913095E-5</v>
      </c>
    </row>
    <row r="94" spans="1:20" x14ac:dyDescent="0.25">
      <c r="A94">
        <f t="shared" si="20"/>
        <v>7.0999999999999908</v>
      </c>
      <c r="B94">
        <f t="shared" si="21"/>
        <v>1.432560713082478</v>
      </c>
      <c r="C94">
        <f t="shared" si="22"/>
        <v>1.0923288282172652</v>
      </c>
      <c r="D94">
        <f t="shared" si="23"/>
        <v>3.4016961639693481E-5</v>
      </c>
      <c r="E94">
        <f t="shared" si="24"/>
        <v>3.5937864128410271E-5</v>
      </c>
      <c r="F94">
        <f t="shared" si="25"/>
        <v>3.5858911107844452E-5</v>
      </c>
      <c r="G94">
        <f t="shared" si="26"/>
        <v>3.7702275000484067E-5</v>
      </c>
      <c r="H94">
        <f t="shared" si="27"/>
        <v>3.588546451878116E-5</v>
      </c>
      <c r="I94">
        <f t="shared" si="28"/>
        <v>1.0470367434394527</v>
      </c>
      <c r="J94">
        <f t="shared" si="29"/>
        <v>3.4648444855026517E-4</v>
      </c>
      <c r="K94">
        <f t="shared" si="30"/>
        <v>3.4528926041283207E-4</v>
      </c>
      <c r="L94">
        <f t="shared" si="31"/>
        <v>3.4530117945947815E-4</v>
      </c>
      <c r="M94">
        <f t="shared" si="32"/>
        <v>3.4411721519737534E-4</v>
      </c>
      <c r="N94">
        <f t="shared" si="33"/>
        <v>3.4529709058204349E-4</v>
      </c>
      <c r="O94" s="1">
        <f t="shared" si="34"/>
        <v>1.0515086998961107</v>
      </c>
      <c r="P94">
        <f t="shared" si="35"/>
        <v>9.1628457245584993E-5</v>
      </c>
      <c r="Q94">
        <f t="shared" si="36"/>
        <v>9.079726611813666E-5</v>
      </c>
      <c r="R94">
        <f t="shared" si="37"/>
        <v>9.0821192806736509E-5</v>
      </c>
      <c r="S94">
        <f t="shared" si="38"/>
        <v>9.0012203088629672E-5</v>
      </c>
      <c r="T94">
        <f t="shared" si="39"/>
        <v>9.0812929697326838E-5</v>
      </c>
    </row>
    <row r="95" spans="1:20" x14ac:dyDescent="0.25">
      <c r="A95">
        <f t="shared" si="20"/>
        <v>7.1999999999999904</v>
      </c>
      <c r="B95">
        <f t="shared" si="21"/>
        <v>1.4353138718382317</v>
      </c>
      <c r="C95">
        <f t="shared" si="22"/>
        <v>1.092364713681784</v>
      </c>
      <c r="D95">
        <f t="shared" si="23"/>
        <v>3.770112182825969E-5</v>
      </c>
      <c r="E95">
        <f t="shared" si="24"/>
        <v>3.9463151101148952E-5</v>
      </c>
      <c r="F95">
        <f t="shared" si="25"/>
        <v>3.9390684388607161E-5</v>
      </c>
      <c r="G95">
        <f t="shared" si="26"/>
        <v>4.1080660321046736E-5</v>
      </c>
      <c r="H95">
        <f t="shared" si="27"/>
        <v>3.9414908854803102E-5</v>
      </c>
      <c r="I95">
        <f t="shared" si="28"/>
        <v>1.0473820405300347</v>
      </c>
      <c r="J95">
        <f t="shared" si="29"/>
        <v>3.4411744961088223E-4</v>
      </c>
      <c r="K95">
        <f t="shared" si="30"/>
        <v>3.4294540715711373E-4</v>
      </c>
      <c r="L95">
        <f t="shared" si="31"/>
        <v>3.4295662998146749E-4</v>
      </c>
      <c r="M95">
        <f t="shared" si="32"/>
        <v>3.4179517012709578E-4</v>
      </c>
      <c r="N95">
        <f t="shared" si="33"/>
        <v>3.4295278233585668E-4</v>
      </c>
      <c r="O95" s="1">
        <f t="shared" si="34"/>
        <v>1.051599512825808</v>
      </c>
      <c r="P95">
        <f t="shared" si="35"/>
        <v>9.0012788433158081E-5</v>
      </c>
      <c r="Q95">
        <f t="shared" si="36"/>
        <v>8.9227740775083003E-5</v>
      </c>
      <c r="R95">
        <f t="shared" si="37"/>
        <v>8.9249955252601601E-5</v>
      </c>
      <c r="S95">
        <f t="shared" si="38"/>
        <v>8.8485532549709156E-5</v>
      </c>
      <c r="T95">
        <f t="shared" si="39"/>
        <v>8.9242285506372745E-5</v>
      </c>
    </row>
    <row r="96" spans="1:20" x14ac:dyDescent="0.25">
      <c r="A96">
        <f t="shared" si="20"/>
        <v>7.2999999999999901</v>
      </c>
      <c r="B96">
        <f t="shared" si="21"/>
        <v>1.4380723217366675</v>
      </c>
      <c r="C96">
        <f t="shared" si="22"/>
        <v>1.0924041285906387</v>
      </c>
      <c r="D96">
        <f t="shared" si="23"/>
        <v>4.1079815288291858E-5</v>
      </c>
      <c r="E96">
        <f t="shared" si="24"/>
        <v>4.269483357619564E-5</v>
      </c>
      <c r="F96">
        <f t="shared" si="25"/>
        <v>4.2628349114348656E-5</v>
      </c>
      <c r="G96">
        <f t="shared" si="26"/>
        <v>4.4176397722672794E-5</v>
      </c>
      <c r="H96">
        <f t="shared" si="27"/>
        <v>4.2650429732008868E-5</v>
      </c>
      <c r="I96">
        <f t="shared" si="28"/>
        <v>1.0477249933123705</v>
      </c>
      <c r="J96">
        <f t="shared" si="29"/>
        <v>3.4179538487875234E-4</v>
      </c>
      <c r="K96">
        <f t="shared" si="30"/>
        <v>3.4064514782506891E-4</v>
      </c>
      <c r="L96">
        <f t="shared" si="31"/>
        <v>3.4065572492675056E-4</v>
      </c>
      <c r="M96">
        <f t="shared" si="32"/>
        <v>3.3951547545378738E-4</v>
      </c>
      <c r="N96">
        <f t="shared" si="33"/>
        <v>3.4065210097269645E-4</v>
      </c>
      <c r="O96" s="1">
        <f t="shared" si="34"/>
        <v>1.0516887551113143</v>
      </c>
      <c r="P96">
        <f t="shared" si="35"/>
        <v>8.8486069655371877E-5</v>
      </c>
      <c r="Q96">
        <f t="shared" si="36"/>
        <v>8.7743870675804922E-5</v>
      </c>
      <c r="R96">
        <f t="shared" si="37"/>
        <v>8.7764499008177738E-5</v>
      </c>
      <c r="S96">
        <f t="shared" si="38"/>
        <v>8.7041464210757544E-5</v>
      </c>
      <c r="T96">
        <f t="shared" si="39"/>
        <v>8.7757378872349123E-5</v>
      </c>
    </row>
    <row r="97" spans="1:20" x14ac:dyDescent="0.25">
      <c r="A97">
        <f t="shared" si="20"/>
        <v>7.3999999999999897</v>
      </c>
      <c r="B97">
        <f t="shared" si="21"/>
        <v>1.440836072946539</v>
      </c>
      <c r="C97">
        <f t="shared" si="22"/>
        <v>1.0924467790203707</v>
      </c>
      <c r="D97">
        <f t="shared" si="23"/>
        <v>4.4175830455195357E-5</v>
      </c>
      <c r="E97">
        <f t="shared" si="24"/>
        <v>4.5654809574990908E-5</v>
      </c>
      <c r="F97">
        <f t="shared" si="25"/>
        <v>4.5593843557156793E-5</v>
      </c>
      <c r="G97">
        <f t="shared" si="26"/>
        <v>4.7010564889049537E-5</v>
      </c>
      <c r="H97">
        <f t="shared" si="27"/>
        <v>4.5613950268090045E-5</v>
      </c>
      <c r="I97">
        <f t="shared" si="28"/>
        <v>1.0480656454133432</v>
      </c>
      <c r="J97">
        <f t="shared" si="29"/>
        <v>3.3951567209375996E-4</v>
      </c>
      <c r="K97">
        <f t="shared" si="30"/>
        <v>3.3838599719949168E-4</v>
      </c>
      <c r="L97">
        <f t="shared" si="31"/>
        <v>3.3839597530109576E-4</v>
      </c>
      <c r="M97">
        <f t="shared" si="32"/>
        <v>3.372757357859176E-4</v>
      </c>
      <c r="N97">
        <f t="shared" si="33"/>
        <v>3.3839255881347539E-4</v>
      </c>
      <c r="O97" s="1">
        <f t="shared" si="34"/>
        <v>1.0517765124901868</v>
      </c>
      <c r="P97">
        <f t="shared" si="35"/>
        <v>8.704195683104099E-5</v>
      </c>
      <c r="Q97">
        <f t="shared" si="36"/>
        <v>8.633955409428074E-5</v>
      </c>
      <c r="R97">
        <f t="shared" si="37"/>
        <v>8.6358712943104823E-5</v>
      </c>
      <c r="S97">
        <f t="shared" si="38"/>
        <v>8.5674120705869772E-5</v>
      </c>
      <c r="T97">
        <f t="shared" si="39"/>
        <v>8.6352101935280315E-5</v>
      </c>
    </row>
    <row r="98" spans="1:20" x14ac:dyDescent="0.25">
      <c r="A98">
        <f t="shared" si="20"/>
        <v>7.4999999999999893</v>
      </c>
      <c r="B98">
        <f t="shared" si="21"/>
        <v>1.4436051356561417</v>
      </c>
      <c r="C98">
        <f t="shared" si="22"/>
        <v>1.0924923929706387</v>
      </c>
      <c r="D98">
        <f t="shared" si="23"/>
        <v>4.7010248050582962E-5</v>
      </c>
      <c r="E98">
        <f t="shared" si="24"/>
        <v>4.8363337749268709E-5</v>
      </c>
      <c r="F98">
        <f t="shared" si="25"/>
        <v>4.8307463211649806E-5</v>
      </c>
      <c r="G98">
        <f t="shared" si="26"/>
        <v>4.960266281974768E-5</v>
      </c>
      <c r="H98">
        <f t="shared" si="27"/>
        <v>4.832575213202794E-5</v>
      </c>
      <c r="I98">
        <f t="shared" si="28"/>
        <v>1.0484040379721566</v>
      </c>
      <c r="J98">
        <f t="shared" si="29"/>
        <v>3.3727591573838784E-4</v>
      </c>
      <c r="K98">
        <f t="shared" si="30"/>
        <v>3.3616564955948306E-4</v>
      </c>
      <c r="L98">
        <f t="shared" si="31"/>
        <v>3.3617507189571451E-4</v>
      </c>
      <c r="M98">
        <f t="shared" si="32"/>
        <v>3.3507372853195408E-4</v>
      </c>
      <c r="N98">
        <f t="shared" si="33"/>
        <v>3.3617184786345611E-4</v>
      </c>
      <c r="O98" s="1">
        <f t="shared" si="34"/>
        <v>1.051862864592122</v>
      </c>
      <c r="P98">
        <f t="shared" si="35"/>
        <v>8.5674572294311421E-5</v>
      </c>
      <c r="Q98">
        <f t="shared" si="36"/>
        <v>8.5009137664410211E-5</v>
      </c>
      <c r="R98">
        <f t="shared" si="37"/>
        <v>8.5026935002330276E-5</v>
      </c>
      <c r="S98">
        <f t="shared" si="38"/>
        <v>8.4378056337466875E-5</v>
      </c>
      <c r="T98">
        <f t="shared" si="39"/>
        <v>8.5020795660876549E-5</v>
      </c>
    </row>
    <row r="99" spans="1:20" x14ac:dyDescent="0.25">
      <c r="A99">
        <f t="shared" si="20"/>
        <v>7.599999999999989</v>
      </c>
      <c r="B99">
        <f t="shared" si="21"/>
        <v>1.4463795200733511</v>
      </c>
      <c r="C99">
        <f t="shared" si="22"/>
        <v>1.0925407187227707</v>
      </c>
      <c r="D99">
        <f t="shared" si="23"/>
        <v>4.9602571779594487E-5</v>
      </c>
      <c r="E99">
        <f t="shared" si="24"/>
        <v>5.0839162629401359E-5</v>
      </c>
      <c r="F99">
        <f t="shared" si="25"/>
        <v>5.0787986356581888E-5</v>
      </c>
      <c r="G99">
        <f t="shared" si="26"/>
        <v>5.1970736114981265E-5</v>
      </c>
      <c r="H99">
        <f t="shared" si="27"/>
        <v>5.0804600977757044E-5</v>
      </c>
      <c r="I99">
        <f t="shared" si="28"/>
        <v>1.04874020982002</v>
      </c>
      <c r="J99">
        <f t="shared" si="29"/>
        <v>3.3507389310604265E-4</v>
      </c>
      <c r="K99">
        <f t="shared" si="30"/>
        <v>3.3398196530196961E-4</v>
      </c>
      <c r="L99">
        <f t="shared" si="31"/>
        <v>3.3399087188582075E-4</v>
      </c>
      <c r="M99">
        <f t="shared" si="32"/>
        <v>3.3290739103174351E-4</v>
      </c>
      <c r="N99">
        <f t="shared" si="33"/>
        <v>3.3398782641889447E-4</v>
      </c>
      <c r="O99" s="1">
        <f t="shared" si="34"/>
        <v>1.0519478853877828</v>
      </c>
      <c r="P99">
        <f t="shared" si="35"/>
        <v>8.4378470073054332E-5</v>
      </c>
      <c r="Q99">
        <f t="shared" si="36"/>
        <v>8.3747383028770495E-5</v>
      </c>
      <c r="R99">
        <f t="shared" si="37"/>
        <v>8.3763918798640541E-5</v>
      </c>
      <c r="S99">
        <f t="shared" si="38"/>
        <v>8.3148224988843783E-5</v>
      </c>
      <c r="T99">
        <f t="shared" si="39"/>
        <v>8.3758216452786704E-5</v>
      </c>
    </row>
    <row r="100" spans="1:20" x14ac:dyDescent="0.25">
      <c r="A100">
        <f t="shared" si="20"/>
        <v>7.6999999999999886</v>
      </c>
      <c r="B100">
        <f t="shared" si="21"/>
        <v>1.4491592364256614</v>
      </c>
      <c r="C100">
        <f t="shared" si="22"/>
        <v>1.0925915233237484</v>
      </c>
      <c r="D100">
        <f t="shared" si="23"/>
        <v>5.1970848655802376E-5</v>
      </c>
      <c r="E100">
        <f t="shared" si="24"/>
        <v>5.3099629956498974E-5</v>
      </c>
      <c r="F100">
        <f t="shared" si="25"/>
        <v>5.3052789670804407E-5</v>
      </c>
      <c r="G100">
        <f t="shared" si="26"/>
        <v>5.4131483759523041E-5</v>
      </c>
      <c r="H100">
        <f t="shared" si="27"/>
        <v>5.3067861944988703E-5</v>
      </c>
      <c r="I100">
        <f t="shared" si="28"/>
        <v>1.0490741976464388</v>
      </c>
      <c r="J100">
        <f t="shared" si="29"/>
        <v>3.3290754143141843E-4</v>
      </c>
      <c r="K100">
        <f t="shared" si="30"/>
        <v>3.3183295858155078E-4</v>
      </c>
      <c r="L100">
        <f t="shared" si="31"/>
        <v>3.3184138644942718E-4</v>
      </c>
      <c r="M100">
        <f t="shared" si="32"/>
        <v>3.3077480866606081E-4</v>
      </c>
      <c r="N100">
        <f t="shared" si="33"/>
        <v>3.3183850669323917E-4</v>
      </c>
      <c r="O100" s="1">
        <f t="shared" si="34"/>
        <v>1.0520316436042356</v>
      </c>
      <c r="P100">
        <f t="shared" si="35"/>
        <v>8.3148603799140797E-5</v>
      </c>
      <c r="Q100">
        <f t="shared" si="36"/>
        <v>8.2549436011930552E-5</v>
      </c>
      <c r="R100">
        <f t="shared" si="37"/>
        <v>8.2564802734383391E-5</v>
      </c>
      <c r="S100">
        <f t="shared" si="38"/>
        <v>8.1979950462771078E-5</v>
      </c>
      <c r="T100">
        <f t="shared" si="39"/>
        <v>8.2559505292423307E-5</v>
      </c>
    </row>
    <row r="101" spans="1:20" x14ac:dyDescent="0.25">
      <c r="A101">
        <f t="shared" si="20"/>
        <v>7.7999999999999883</v>
      </c>
      <c r="B101">
        <f t="shared" si="21"/>
        <v>1.4519442949602217</v>
      </c>
      <c r="C101">
        <f t="shared" si="22"/>
        <v>1.0926445911856935</v>
      </c>
      <c r="D101">
        <f t="shared" si="23"/>
        <v>5.4131779818256126E-5</v>
      </c>
      <c r="E101">
        <f t="shared" si="24"/>
        <v>5.5160792927910764E-5</v>
      </c>
      <c r="F101">
        <f t="shared" si="25"/>
        <v>5.5117954730743439E-5</v>
      </c>
      <c r="G101">
        <f t="shared" si="26"/>
        <v>5.6100361199362685E-5</v>
      </c>
      <c r="H101">
        <f t="shared" si="27"/>
        <v>5.5131606055821208E-5</v>
      </c>
      <c r="I101">
        <f t="shared" si="28"/>
        <v>1.0494060361531321</v>
      </c>
      <c r="J101">
        <f t="shared" si="29"/>
        <v>3.3077494599909437E-4</v>
      </c>
      <c r="K101">
        <f t="shared" si="30"/>
        <v>3.2971678588845151E-4</v>
      </c>
      <c r="L101">
        <f t="shared" si="31"/>
        <v>3.2972476932601982E-4</v>
      </c>
      <c r="M101">
        <f t="shared" si="32"/>
        <v>3.2867420386744169E-4</v>
      </c>
      <c r="N101">
        <f t="shared" si="33"/>
        <v>3.2972204338257982E-4</v>
      </c>
      <c r="O101" s="1">
        <f t="shared" si="34"/>
        <v>1.0521142031095281</v>
      </c>
      <c r="P101">
        <f t="shared" si="35"/>
        <v>8.1980297044828565E-5</v>
      </c>
      <c r="Q101">
        <f t="shared" si="36"/>
        <v>8.1410798121367425E-5</v>
      </c>
      <c r="R101">
        <f t="shared" si="37"/>
        <v>8.1425081455016601E-5</v>
      </c>
      <c r="S101">
        <f t="shared" si="38"/>
        <v>8.086889905703776E-5</v>
      </c>
      <c r="T101">
        <f t="shared" si="39"/>
        <v>8.1420159209105727E-5</v>
      </c>
    </row>
    <row r="102" spans="1:20" x14ac:dyDescent="0.25">
      <c r="A102">
        <f t="shared" si="20"/>
        <v>7.8999999999999879</v>
      </c>
      <c r="B102">
        <f t="shared" si="21"/>
        <v>1.4547347059438756</v>
      </c>
      <c r="C102">
        <f t="shared" si="22"/>
        <v>1.0926997227917492</v>
      </c>
      <c r="D102">
        <f t="shared" si="23"/>
        <v>5.610082264135841E-5</v>
      </c>
      <c r="E102">
        <f t="shared" si="24"/>
        <v>5.7037510118629347E-5</v>
      </c>
      <c r="F102">
        <f t="shared" si="25"/>
        <v>5.6998366164062733E-5</v>
      </c>
      <c r="G102">
        <f t="shared" si="26"/>
        <v>5.7891674439236601E-5</v>
      </c>
      <c r="H102">
        <f t="shared" si="27"/>
        <v>5.701070827432985E-5</v>
      </c>
      <c r="I102">
        <f t="shared" si="28"/>
        <v>1.0497357581965148</v>
      </c>
      <c r="J102">
        <f t="shared" si="29"/>
        <v>3.286743291535435E-4</v>
      </c>
      <c r="K102">
        <f t="shared" si="30"/>
        <v>3.2763173549113381E-4</v>
      </c>
      <c r="L102">
        <f t="shared" si="31"/>
        <v>3.2763930624149382E-4</v>
      </c>
      <c r="M102">
        <f t="shared" si="32"/>
        <v>3.2660392596195096E-4</v>
      </c>
      <c r="N102">
        <f t="shared" si="33"/>
        <v>3.2763672309679156E-4</v>
      </c>
      <c r="O102" s="1">
        <f t="shared" si="34"/>
        <v>1.0521956232687373</v>
      </c>
      <c r="P102">
        <f t="shared" si="35"/>
        <v>8.0869215896511864E-5</v>
      </c>
      <c r="Q102">
        <f t="shared" si="36"/>
        <v>8.0327300195343076E-5</v>
      </c>
      <c r="R102">
        <f t="shared" si="37"/>
        <v>8.0340579453577765E-5</v>
      </c>
      <c r="S102">
        <f t="shared" si="38"/>
        <v>7.9811054204018131E-5</v>
      </c>
      <c r="T102">
        <f t="shared" si="39"/>
        <v>8.0336004899728597E-5</v>
      </c>
    </row>
    <row r="103" spans="1:20" x14ac:dyDescent="0.25">
      <c r="A103">
        <f t="shared" si="20"/>
        <v>7.9999999999999876</v>
      </c>
      <c r="B103">
        <f t="shared" si="21"/>
        <v>1.4575304796631969</v>
      </c>
      <c r="C103">
        <f t="shared" si="22"/>
        <v>1.0927567335000234</v>
      </c>
      <c r="D103">
        <f t="shared" si="23"/>
        <v>5.7892284855665112E-5</v>
      </c>
      <c r="E103">
        <f t="shared" si="24"/>
        <v>5.8743535762229018E-5</v>
      </c>
      <c r="F103">
        <f t="shared" si="25"/>
        <v>5.8707802129909226E-5</v>
      </c>
      <c r="G103">
        <f t="shared" si="26"/>
        <v>5.9518666810198795E-5</v>
      </c>
      <c r="H103">
        <f t="shared" si="27"/>
        <v>5.8718937908356729E-5</v>
      </c>
      <c r="I103">
        <f t="shared" si="28"/>
        <v>1.0500633949196116</v>
      </c>
      <c r="J103">
        <f t="shared" si="29"/>
        <v>3.266040401401503E-4</v>
      </c>
      <c r="K103">
        <f t="shared" si="30"/>
        <v>3.2557621767618822E-4</v>
      </c>
      <c r="L103">
        <f t="shared" si="31"/>
        <v>3.2558340513182935E-4</v>
      </c>
      <c r="M103">
        <f t="shared" si="32"/>
        <v>3.2456244177718512E-4</v>
      </c>
      <c r="N103">
        <f t="shared" si="33"/>
        <v>3.2558095458889503E-4</v>
      </c>
      <c r="O103" s="1">
        <f t="shared" si="34"/>
        <v>1.052275959273637</v>
      </c>
      <c r="P103">
        <f t="shared" si="35"/>
        <v>7.9811343592511863E-5</v>
      </c>
      <c r="Q103">
        <f t="shared" si="36"/>
        <v>7.9295078031807475E-5</v>
      </c>
      <c r="R103">
        <f t="shared" si="37"/>
        <v>7.9307426659588903E-5</v>
      </c>
      <c r="S103">
        <f t="shared" si="38"/>
        <v>7.880269301465404E-5</v>
      </c>
      <c r="T103">
        <f t="shared" si="39"/>
        <v>7.9303174331659768E-5</v>
      </c>
    </row>
    <row r="104" spans="1:20" x14ac:dyDescent="0.25">
      <c r="A104">
        <f t="shared" si="20"/>
        <v>8.0999999999999872</v>
      </c>
      <c r="B104">
        <f t="shared" si="21"/>
        <v>1.460331626424529</v>
      </c>
      <c r="C104">
        <f t="shared" si="22"/>
        <v>1.0928154524379319</v>
      </c>
      <c r="D104">
        <f t="shared" si="23"/>
        <v>5.9519411338726519E-5</v>
      </c>
      <c r="E104">
        <f t="shared" si="24"/>
        <v>6.0291603014217548E-5</v>
      </c>
      <c r="F104">
        <f t="shared" si="25"/>
        <v>6.0259017771446824E-5</v>
      </c>
      <c r="G104">
        <f t="shared" si="26"/>
        <v>6.0993599008973835E-5</v>
      </c>
      <c r="H104">
        <f t="shared" si="27"/>
        <v>6.0269041986504851E-5</v>
      </c>
      <c r="I104">
        <f t="shared" si="28"/>
        <v>1.0503889758742004</v>
      </c>
      <c r="J104">
        <f t="shared" si="29"/>
        <v>3.2456254571254555E-4</v>
      </c>
      <c r="K104">
        <f t="shared" si="30"/>
        <v>3.2354875572356484E-4</v>
      </c>
      <c r="L104">
        <f t="shared" si="31"/>
        <v>3.2355558710343266E-4</v>
      </c>
      <c r="M104">
        <f t="shared" si="32"/>
        <v>3.225483269571549E-4</v>
      </c>
      <c r="N104">
        <f t="shared" si="33"/>
        <v>3.2355325972061591E-4</v>
      </c>
      <c r="O104" s="1">
        <f t="shared" si="34"/>
        <v>1.0523552624479686</v>
      </c>
      <c r="P104">
        <f t="shared" si="35"/>
        <v>7.8802957065537982E-5</v>
      </c>
      <c r="Q104">
        <f t="shared" si="36"/>
        <v>7.8310549845506122E-5</v>
      </c>
      <c r="R104">
        <f t="shared" si="37"/>
        <v>7.8322035859515471E-5</v>
      </c>
      <c r="S104">
        <f t="shared" si="38"/>
        <v>7.7840364580494822E-5</v>
      </c>
      <c r="T104">
        <f t="shared" si="39"/>
        <v>7.8318082176012663E-5</v>
      </c>
    </row>
    <row r="105" spans="1:20" x14ac:dyDescent="0.25">
      <c r="A105">
        <f t="shared" si="20"/>
        <v>8.1999999999999869</v>
      </c>
      <c r="B105">
        <f t="shared" si="21"/>
        <v>1.4631381565540222</v>
      </c>
      <c r="C105">
        <f t="shared" si="22"/>
        <v>1.0928757214799183</v>
      </c>
      <c r="D105">
        <f t="shared" si="23"/>
        <v>6.0994464176911127E-5</v>
      </c>
      <c r="E105">
        <f t="shared" si="24"/>
        <v>6.1693500773252205E-5</v>
      </c>
      <c r="F105">
        <f t="shared" si="25"/>
        <v>6.1663822208313243E-5</v>
      </c>
      <c r="G105">
        <f t="shared" si="26"/>
        <v>6.232782295434447E-5</v>
      </c>
      <c r="H105">
        <f t="shared" si="27"/>
        <v>6.1672822182397741E-5</v>
      </c>
      <c r="I105">
        <f t="shared" si="28"/>
        <v>1.050712529133921</v>
      </c>
      <c r="J105">
        <f t="shared" si="29"/>
        <v>3.2254842144687938E-4</v>
      </c>
      <c r="K105">
        <f t="shared" si="30"/>
        <v>3.2154797756032033E-4</v>
      </c>
      <c r="L105">
        <f t="shared" si="31"/>
        <v>3.2155447807316953E-4</v>
      </c>
      <c r="M105">
        <f t="shared" si="32"/>
        <v>3.2056025792951331E-4</v>
      </c>
      <c r="N105">
        <f t="shared" si="33"/>
        <v>3.2155226510722872E-4</v>
      </c>
      <c r="O105" s="1">
        <f t="shared" si="34"/>
        <v>1.0524335805301446</v>
      </c>
      <c r="P105">
        <f t="shared" si="35"/>
        <v>7.7840605243387215E-5</v>
      </c>
      <c r="Q105">
        <f t="shared" si="36"/>
        <v>7.7370395413214893E-5</v>
      </c>
      <c r="R105">
        <f t="shared" si="37"/>
        <v>7.7381081808194926E-5</v>
      </c>
      <c r="S105">
        <f t="shared" si="38"/>
        <v>7.6920869899174682E-5</v>
      </c>
      <c r="T105">
        <f t="shared" si="39"/>
        <v>7.737740493089692E-5</v>
      </c>
    </row>
    <row r="106" spans="1:20" x14ac:dyDescent="0.25">
      <c r="A106">
        <f t="shared" si="20"/>
        <v>8.2999999999999865</v>
      </c>
      <c r="B106">
        <f t="shared" si="21"/>
        <v>1.4659500803976728</v>
      </c>
      <c r="C106">
        <f t="shared" si="22"/>
        <v>1.0929373943021008</v>
      </c>
      <c r="D106">
        <f t="shared" si="23"/>
        <v>6.2328796538579931E-5</v>
      </c>
      <c r="E106">
        <f t="shared" si="24"/>
        <v>6.2960144582202568E-5</v>
      </c>
      <c r="F106">
        <f t="shared" si="25"/>
        <v>6.2933149583255249E-5</v>
      </c>
      <c r="G106">
        <f t="shared" si="26"/>
        <v>6.353184996212847E-5</v>
      </c>
      <c r="H106">
        <f t="shared" si="27"/>
        <v>6.2941205805270672E-5</v>
      </c>
      <c r="I106">
        <f t="shared" si="28"/>
        <v>1.0510340813990282</v>
      </c>
      <c r="J106">
        <f t="shared" si="29"/>
        <v>3.2056034370850535E-4</v>
      </c>
      <c r="K106">
        <f t="shared" si="30"/>
        <v>3.1957260804058013E-4</v>
      </c>
      <c r="L106">
        <f t="shared" si="31"/>
        <v>3.1957880103577682E-4</v>
      </c>
      <c r="M106">
        <f t="shared" si="32"/>
        <v>3.1859700447489322E-4</v>
      </c>
      <c r="N106">
        <f t="shared" si="33"/>
        <v>3.1957669438935203E-4</v>
      </c>
      <c r="O106" s="1">
        <f t="shared" si="34"/>
        <v>1.0525109579350755</v>
      </c>
      <c r="P106">
        <f t="shared" si="35"/>
        <v>7.6921088973100349E-5</v>
      </c>
      <c r="Q106">
        <f t="shared" si="36"/>
        <v>7.647153677777519E-5</v>
      </c>
      <c r="R106">
        <f t="shared" si="37"/>
        <v>7.6481481901805043E-5</v>
      </c>
      <c r="S106">
        <f t="shared" si="38"/>
        <v>7.6041243299088124E-5</v>
      </c>
      <c r="T106">
        <f t="shared" si="39"/>
        <v>7.6478061605224823E-5</v>
      </c>
    </row>
    <row r="107" spans="1:20" x14ac:dyDescent="0.25">
      <c r="A107">
        <f t="shared" si="20"/>
        <v>8.3999999999999861</v>
      </c>
      <c r="B107">
        <f t="shared" si="21"/>
        <v>1.46876740832136</v>
      </c>
      <c r="C107">
        <f t="shared" si="22"/>
        <v>1.0930003355079061</v>
      </c>
      <c r="D107">
        <f t="shared" si="23"/>
        <v>6.3532920865139175E-5</v>
      </c>
      <c r="E107">
        <f t="shared" si="24"/>
        <v>6.4101642080416357E-5</v>
      </c>
      <c r="F107">
        <f t="shared" si="25"/>
        <v>6.4077124655259615E-5</v>
      </c>
      <c r="G107">
        <f t="shared" si="26"/>
        <v>6.4615413688606799E-5</v>
      </c>
      <c r="H107">
        <f t="shared" si="27"/>
        <v>6.408431133751632E-5</v>
      </c>
      <c r="I107">
        <f t="shared" si="28"/>
        <v>1.0513536580934175</v>
      </c>
      <c r="J107">
        <f t="shared" si="29"/>
        <v>3.1859708222083761E-4</v>
      </c>
      <c r="K107">
        <f t="shared" si="30"/>
        <v>3.1762146180365128E-4</v>
      </c>
      <c r="L107">
        <f t="shared" si="31"/>
        <v>3.1762736891039676E-4</v>
      </c>
      <c r="M107">
        <f t="shared" si="32"/>
        <v>3.1665742285228436E-4</v>
      </c>
      <c r="N107">
        <f t="shared" si="33"/>
        <v>3.1762536108353632E-4</v>
      </c>
      <c r="O107" s="1">
        <f t="shared" si="34"/>
        <v>1.0525874359966807</v>
      </c>
      <c r="P107">
        <f t="shared" si="35"/>
        <v>7.604144244455491E-5</v>
      </c>
      <c r="Q107">
        <f t="shared" si="36"/>
        <v>7.5611120392066194E-5</v>
      </c>
      <c r="R107">
        <f t="shared" si="37"/>
        <v>7.5620378293222998E-5</v>
      </c>
      <c r="S107">
        <f t="shared" si="38"/>
        <v>7.5198735249265572E-5</v>
      </c>
      <c r="T107">
        <f t="shared" si="39"/>
        <v>7.5617195844066473E-5</v>
      </c>
    </row>
    <row r="108" spans="1:20" x14ac:dyDescent="0.25">
      <c r="A108">
        <f t="shared" si="20"/>
        <v>8.4999999999999858</v>
      </c>
      <c r="B108">
        <f t="shared" si="21"/>
        <v>1.4715901507108844</v>
      </c>
      <c r="C108">
        <f t="shared" si="22"/>
        <v>1.0930644198192436</v>
      </c>
      <c r="D108">
        <f t="shared" si="23"/>
        <v>6.4616571824949173E-5</v>
      </c>
      <c r="E108">
        <f t="shared" si="24"/>
        <v>6.5127353442218094E-5</v>
      </c>
      <c r="F108">
        <f t="shared" si="25"/>
        <v>6.5105123363107253E-5</v>
      </c>
      <c r="G108">
        <f t="shared" si="26"/>
        <v>6.5587528259136718E-5</v>
      </c>
      <c r="H108">
        <f t="shared" si="27"/>
        <v>6.5111508949122762E-5</v>
      </c>
      <c r="I108">
        <f t="shared" si="28"/>
        <v>1.051671283454501</v>
      </c>
      <c r="J108">
        <f t="shared" si="29"/>
        <v>3.1665749319028107E-4</v>
      </c>
      <c r="K108">
        <f t="shared" si="30"/>
        <v>3.1569343666605783E-4</v>
      </c>
      <c r="L108">
        <f t="shared" si="31"/>
        <v>3.1569907792195037E-4</v>
      </c>
      <c r="M108">
        <f t="shared" si="32"/>
        <v>3.1474044943790506E-4</v>
      </c>
      <c r="N108">
        <f t="shared" si="33"/>
        <v>3.1569716196736707E-4</v>
      </c>
      <c r="O108" s="1">
        <f t="shared" si="34"/>
        <v>1.0526630531925247</v>
      </c>
      <c r="P108">
        <f t="shared" si="35"/>
        <v>7.5198915999297186E-5</v>
      </c>
      <c r="Q108">
        <f t="shared" si="36"/>
        <v>7.4786500593415636E-5</v>
      </c>
      <c r="R108">
        <f t="shared" si="37"/>
        <v>7.4795121340098808E-5</v>
      </c>
      <c r="S108">
        <f t="shared" si="38"/>
        <v>7.4390796449111399E-5</v>
      </c>
      <c r="T108">
        <f t="shared" si="39"/>
        <v>7.4792159385906232E-5</v>
      </c>
    </row>
    <row r="109" spans="1:20" x14ac:dyDescent="0.25">
      <c r="A109">
        <f t="shared" si="20"/>
        <v>8.5999999999999854</v>
      </c>
      <c r="B109">
        <f t="shared" si="21"/>
        <v>1.4744183179720072</v>
      </c>
      <c r="C109">
        <f t="shared" si="22"/>
        <v>1.0931295313281928</v>
      </c>
      <c r="D109">
        <f t="shared" si="23"/>
        <v>6.5588764458546225E-5</v>
      </c>
      <c r="E109">
        <f t="shared" si="24"/>
        <v>6.6045947203896557E-5</v>
      </c>
      <c r="F109">
        <f t="shared" si="25"/>
        <v>6.6025828765248207E-5</v>
      </c>
      <c r="G109">
        <f t="shared" si="26"/>
        <v>6.6456541968840102E-5</v>
      </c>
      <c r="H109">
        <f t="shared" si="27"/>
        <v>6.6031476394279309E-5</v>
      </c>
      <c r="I109">
        <f t="shared" si="28"/>
        <v>1.0519869806164683</v>
      </c>
      <c r="J109">
        <f t="shared" si="29"/>
        <v>3.1474051294469213E-4</v>
      </c>
      <c r="K109">
        <f t="shared" si="30"/>
        <v>3.1378750750673336E-4</v>
      </c>
      <c r="L109">
        <f t="shared" si="31"/>
        <v>3.137929014765338E-4</v>
      </c>
      <c r="M109">
        <f t="shared" si="32"/>
        <v>3.1284509483845113E-4</v>
      </c>
      <c r="N109">
        <f t="shared" si="33"/>
        <v>3.1379107095827957E-4</v>
      </c>
      <c r="O109" s="1">
        <f t="shared" si="34"/>
        <v>1.0527378453519107</v>
      </c>
      <c r="P109">
        <f t="shared" si="35"/>
        <v>7.4390960219339341E-5</v>
      </c>
      <c r="Q109">
        <f t="shared" si="36"/>
        <v>7.3995224307524254E-5</v>
      </c>
      <c r="R109">
        <f t="shared" si="37"/>
        <v>7.4003254284460421E-5</v>
      </c>
      <c r="S109">
        <f t="shared" si="38"/>
        <v>7.3615063101073472E-5</v>
      </c>
      <c r="T109">
        <f t="shared" si="39"/>
        <v>7.4000496750730363E-5</v>
      </c>
    </row>
    <row r="110" spans="1:20" x14ac:dyDescent="0.25">
      <c r="A110">
        <f t="shared" si="20"/>
        <v>8.6999999999999851</v>
      </c>
      <c r="B110">
        <f t="shared" si="21"/>
        <v>1.4772519205304868</v>
      </c>
      <c r="C110">
        <f t="shared" si="22"/>
        <v>1.0931955628045871</v>
      </c>
      <c r="D110">
        <f t="shared" si="23"/>
        <v>6.6457847888834465E-5</v>
      </c>
      <c r="E110">
        <f t="shared" si="24"/>
        <v>6.6865451842978985E-5</v>
      </c>
      <c r="F110">
        <f t="shared" si="25"/>
        <v>6.6847282720594595E-5</v>
      </c>
      <c r="G110">
        <f t="shared" si="26"/>
        <v>6.7230186903977082E-5</v>
      </c>
      <c r="H110">
        <f t="shared" si="27"/>
        <v>6.685225065332644E-5</v>
      </c>
      <c r="I110">
        <f t="shared" si="28"/>
        <v>1.0523007716874266</v>
      </c>
      <c r="J110">
        <f t="shared" si="29"/>
        <v>3.1284515204627733E-4</v>
      </c>
      <c r="K110">
        <f t="shared" si="30"/>
        <v>3.1190272060787537E-4</v>
      </c>
      <c r="L110">
        <f t="shared" si="31"/>
        <v>3.1190788449325115E-4</v>
      </c>
      <c r="M110">
        <f t="shared" si="32"/>
        <v>3.1097043844271571E-4</v>
      </c>
      <c r="N110">
        <f t="shared" si="33"/>
        <v>3.1190613344854099E-4</v>
      </c>
      <c r="O110" s="1">
        <f t="shared" si="34"/>
        <v>1.0528118458486615</v>
      </c>
      <c r="P110">
        <f t="shared" si="35"/>
        <v>7.3615211199018485E-5</v>
      </c>
      <c r="Q110">
        <f t="shared" si="36"/>
        <v>7.3235016888856252E-5</v>
      </c>
      <c r="R110">
        <f t="shared" si="37"/>
        <v>7.3242499070774739E-5</v>
      </c>
      <c r="S110">
        <f t="shared" si="38"/>
        <v>7.2869343276940615E-5</v>
      </c>
      <c r="T110">
        <f t="shared" si="39"/>
        <v>7.3239931065870176E-5</v>
      </c>
    </row>
    <row r="111" spans="1:20" x14ac:dyDescent="0.25">
      <c r="A111">
        <f t="shared" si="20"/>
        <v>8.7999999999999847</v>
      </c>
      <c r="B111">
        <f t="shared" si="21"/>
        <v>1.4800909688321195</v>
      </c>
      <c r="C111">
        <f t="shared" si="22"/>
        <v>1.0932624150552404</v>
      </c>
      <c r="D111">
        <f t="shared" si="23"/>
        <v>6.7231554947166935E-5</v>
      </c>
      <c r="E111">
        <f t="shared" si="24"/>
        <v>6.7593303434509982E-5</v>
      </c>
      <c r="F111">
        <f t="shared" si="25"/>
        <v>6.7576933644541986E-5</v>
      </c>
      <c r="G111">
        <f t="shared" si="26"/>
        <v>6.7915624789716142E-5</v>
      </c>
      <c r="H111">
        <f t="shared" si="27"/>
        <v>6.7581275649164507E-5</v>
      </c>
      <c r="I111">
        <f t="shared" si="28"/>
        <v>1.0526126778208751</v>
      </c>
      <c r="J111">
        <f t="shared" si="29"/>
        <v>3.1097048984289431E-4</v>
      </c>
      <c r="K111">
        <f t="shared" si="30"/>
        <v>3.1003818841691825E-4</v>
      </c>
      <c r="L111">
        <f t="shared" si="31"/>
        <v>3.1004313815783546E-4</v>
      </c>
      <c r="M111">
        <f t="shared" si="32"/>
        <v>3.0911562337836764E-4</v>
      </c>
      <c r="N111">
        <f t="shared" si="33"/>
        <v>3.1004146106179491E-4</v>
      </c>
      <c r="O111" s="1">
        <f t="shared" si="34"/>
        <v>1.0528850857797274</v>
      </c>
      <c r="P111">
        <f t="shared" si="35"/>
        <v>7.2869476910467087E-5</v>
      </c>
      <c r="Q111">
        <f t="shared" si="36"/>
        <v>7.2503769011789124E-5</v>
      </c>
      <c r="R111">
        <f t="shared" si="37"/>
        <v>7.2510743216372406E-5</v>
      </c>
      <c r="S111">
        <f t="shared" si="38"/>
        <v>7.2151604295131452E-5</v>
      </c>
      <c r="T111">
        <f t="shared" si="39"/>
        <v>7.2508350943653604E-5</v>
      </c>
    </row>
    <row r="112" spans="1:20" x14ac:dyDescent="0.25">
      <c r="A112">
        <f t="shared" si="20"/>
        <v>8.8999999999999844</v>
      </c>
      <c r="B112">
        <f t="shared" si="21"/>
        <v>1.4829354733427755</v>
      </c>
      <c r="C112">
        <f t="shared" si="22"/>
        <v>1.0933299963308896</v>
      </c>
      <c r="D112">
        <f t="shared" si="23"/>
        <v>6.7917048037813291E-5</v>
      </c>
      <c r="E112">
        <f t="shared" si="24"/>
        <v>6.8236389709586123E-5</v>
      </c>
      <c r="F112">
        <f t="shared" si="25"/>
        <v>6.8221680644064977E-5</v>
      </c>
      <c r="G112">
        <f t="shared" si="26"/>
        <v>6.8519489385554527E-5</v>
      </c>
      <c r="H112">
        <f t="shared" si="27"/>
        <v>6.8225446355111663E-5</v>
      </c>
      <c r="I112">
        <f t="shared" si="28"/>
        <v>1.0529227192819368</v>
      </c>
      <c r="J112">
        <f t="shared" si="29"/>
        <v>3.0911566942448855E-4</v>
      </c>
      <c r="K112">
        <f t="shared" si="30"/>
        <v>3.0819308469768561E-4</v>
      </c>
      <c r="L112">
        <f t="shared" si="31"/>
        <v>3.0819783506616034E-4</v>
      </c>
      <c r="M112">
        <f t="shared" si="32"/>
        <v>3.0727985184315974E-4</v>
      </c>
      <c r="N112">
        <f t="shared" si="33"/>
        <v>3.0819622679922334E-4</v>
      </c>
      <c r="O112" s="1">
        <f t="shared" si="34"/>
        <v>1.052957594130671</v>
      </c>
      <c r="P112">
        <f t="shared" si="35"/>
        <v>7.2151724580241111E-5</v>
      </c>
      <c r="Q112">
        <f t="shared" si="36"/>
        <v>7.1799524533272538E-5</v>
      </c>
      <c r="R112">
        <f t="shared" si="37"/>
        <v>7.1806027655113574E-5</v>
      </c>
      <c r="S112">
        <f t="shared" si="38"/>
        <v>7.145996103304631E-5</v>
      </c>
      <c r="T112">
        <f t="shared" si="39"/>
        <v>7.1803798331676608E-5</v>
      </c>
    </row>
    <row r="113" spans="1:20" x14ac:dyDescent="0.25">
      <c r="A113">
        <f t="shared" si="20"/>
        <v>8.999999999999984</v>
      </c>
      <c r="B113">
        <f t="shared" si="21"/>
        <v>1.48578544454844</v>
      </c>
      <c r="C113">
        <f t="shared" si="22"/>
        <v>1.0933982217772447</v>
      </c>
      <c r="D113">
        <f t="shared" si="23"/>
        <v>6.8520961532581029E-5</v>
      </c>
      <c r="E113">
        <f t="shared" si="24"/>
        <v>6.8801090778425339E-5</v>
      </c>
      <c r="F113">
        <f t="shared" si="25"/>
        <v>6.8787914325341151E-5</v>
      </c>
      <c r="G113">
        <f t="shared" si="26"/>
        <v>6.9047925669263319E-5</v>
      </c>
      <c r="H113">
        <f t="shared" si="27"/>
        <v>6.8791149568229546E-5</v>
      </c>
      <c r="I113">
        <f t="shared" si="28"/>
        <v>1.053230915508736</v>
      </c>
      <c r="J113">
        <f t="shared" si="29"/>
        <v>3.0727989295409097E-4</v>
      </c>
      <c r="K113">
        <f t="shared" si="30"/>
        <v>3.0636664004140478E-4</v>
      </c>
      <c r="L113">
        <f t="shared" si="31"/>
        <v>3.0637120472815907E-4</v>
      </c>
      <c r="M113">
        <f t="shared" si="32"/>
        <v>3.0546238078250866E-4</v>
      </c>
      <c r="N113">
        <f t="shared" si="33"/>
        <v>3.0636966054595454E-4</v>
      </c>
      <c r="O113" s="1">
        <f t="shared" si="34"/>
        <v>1.0530293979290026</v>
      </c>
      <c r="P113">
        <f t="shared" si="35"/>
        <v>7.1460069001036408E-5</v>
      </c>
      <c r="Q113">
        <f t="shared" si="36"/>
        <v>7.112046925409066E-5</v>
      </c>
      <c r="R113">
        <f t="shared" si="37"/>
        <v>7.1126535481053077E-5</v>
      </c>
      <c r="S113">
        <f t="shared" si="38"/>
        <v>7.079266510426063E-5</v>
      </c>
      <c r="T113">
        <f t="shared" si="39"/>
        <v>7.1124457262597407E-5</v>
      </c>
    </row>
    <row r="114" spans="1:20" x14ac:dyDescent="0.25">
      <c r="A114">
        <f t="shared" si="20"/>
        <v>9.0999999999999837</v>
      </c>
      <c r="B114">
        <f t="shared" si="21"/>
        <v>1.4886408929552497</v>
      </c>
      <c r="C114">
        <f t="shared" si="22"/>
        <v>1.0934670129268129</v>
      </c>
      <c r="D114">
        <f t="shared" si="23"/>
        <v>6.9049440964885641E-5</v>
      </c>
      <c r="E114">
        <f t="shared" si="24"/>
        <v>6.9293316783181069E-5</v>
      </c>
      <c r="F114">
        <f t="shared" si="25"/>
        <v>6.9281554516287261E-5</v>
      </c>
      <c r="G114">
        <f t="shared" si="26"/>
        <v>6.9506626075721561E-5</v>
      </c>
      <c r="H114">
        <f t="shared" si="27"/>
        <v>6.9284301606590637E-5</v>
      </c>
      <c r="I114">
        <f t="shared" si="28"/>
        <v>1.0535372851692819</v>
      </c>
      <c r="J114">
        <f t="shared" si="29"/>
        <v>3.0546241734511224E-4</v>
      </c>
      <c r="K114">
        <f t="shared" si="30"/>
        <v>3.0455813771045748E-4</v>
      </c>
      <c r="L114">
        <f t="shared" si="31"/>
        <v>3.0456252940506495E-4</v>
      </c>
      <c r="M114">
        <f t="shared" si="32"/>
        <v>3.0366251788721218E-4</v>
      </c>
      <c r="N114">
        <f t="shared" si="33"/>
        <v>3.0456104491056156E-4</v>
      </c>
      <c r="O114" s="1">
        <f t="shared" si="34"/>
        <v>1.0531005223862653</v>
      </c>
      <c r="P114">
        <f t="shared" si="35"/>
        <v>7.0792761708290961E-5</v>
      </c>
      <c r="Q114">
        <f t="shared" si="36"/>
        <v>7.0464920511223447E-5</v>
      </c>
      <c r="R114">
        <f t="shared" si="37"/>
        <v>7.0470581524609277E-5</v>
      </c>
      <c r="S114">
        <f t="shared" si="38"/>
        <v>7.0148094835698058E-5</v>
      </c>
      <c r="T114">
        <f t="shared" si="39"/>
        <v>7.0468643435942402E-5</v>
      </c>
    </row>
    <row r="115" spans="1:20" x14ac:dyDescent="0.25">
      <c r="A115">
        <f t="shared" si="20"/>
        <v>9.1999999999999833</v>
      </c>
      <c r="B115">
        <f t="shared" si="21"/>
        <v>1.4915018290895332</v>
      </c>
      <c r="C115">
        <f t="shared" si="22"/>
        <v>1.0935362972284195</v>
      </c>
      <c r="D115">
        <f t="shared" si="23"/>
        <v>6.9508179277288923E-5</v>
      </c>
      <c r="E115">
        <f t="shared" si="24"/>
        <v>6.9718542725460966E-5</v>
      </c>
      <c r="F115">
        <f t="shared" si="25"/>
        <v>6.9708085159270183E-5</v>
      </c>
      <c r="G115">
        <f t="shared" si="26"/>
        <v>6.9900864013927588E-5</v>
      </c>
      <c r="H115">
        <f t="shared" si="27"/>
        <v>6.9710383176779797E-5</v>
      </c>
      <c r="I115">
        <f t="shared" si="28"/>
        <v>1.0538418462141925</v>
      </c>
      <c r="J115">
        <f t="shared" si="29"/>
        <v>3.0366255025883639E-4</v>
      </c>
      <c r="K115">
        <f t="shared" si="30"/>
        <v>3.0276690978983168E-4</v>
      </c>
      <c r="L115">
        <f t="shared" si="31"/>
        <v>3.0277114025481548E-4</v>
      </c>
      <c r="M115">
        <f t="shared" si="32"/>
        <v>3.0187961788735566E-4</v>
      </c>
      <c r="N115">
        <f t="shared" si="33"/>
        <v>3.02769711372581E-4</v>
      </c>
      <c r="O115" s="1">
        <f t="shared" si="34"/>
        <v>1.0531709910297011</v>
      </c>
      <c r="P115">
        <f t="shared" si="35"/>
        <v>7.0148180956822179E-5</v>
      </c>
      <c r="Q115">
        <f t="shared" si="36"/>
        <v>6.9831317539215126E-5</v>
      </c>
      <c r="R115">
        <f t="shared" si="37"/>
        <v>6.9836602698891689E-5</v>
      </c>
      <c r="S115">
        <f t="shared" si="38"/>
        <v>6.9524745984966827E-5</v>
      </c>
      <c r="T115">
        <f t="shared" si="39"/>
        <v>6.9834794569667111E-5</v>
      </c>
    </row>
    <row r="116" spans="1:20" x14ac:dyDescent="0.25">
      <c r="A116">
        <f t="shared" si="20"/>
        <v>9.2999999999999829</v>
      </c>
      <c r="B116">
        <f t="shared" si="21"/>
        <v>1.4943682634978486</v>
      </c>
      <c r="C116">
        <f t="shared" si="22"/>
        <v>1.0936060076115963</v>
      </c>
      <c r="D116">
        <f t="shared" si="23"/>
        <v>6.9902450337178121E-5</v>
      </c>
      <c r="E116">
        <f t="shared" si="24"/>
        <v>7.0081840672120427E-5</v>
      </c>
      <c r="F116">
        <f t="shared" si="25"/>
        <v>7.0072586574188028E-5</v>
      </c>
      <c r="G116">
        <f t="shared" si="26"/>
        <v>7.0235524867712234E-5</v>
      </c>
      <c r="H116">
        <f t="shared" si="27"/>
        <v>7.0074471616251213E-5</v>
      </c>
      <c r="I116">
        <f t="shared" si="28"/>
        <v>1.0541446159255652</v>
      </c>
      <c r="J116">
        <f t="shared" si="29"/>
        <v>3.0187964639813821E-4</v>
      </c>
      <c r="K116">
        <f t="shared" si="30"/>
        <v>3.0099233362320386E-4</v>
      </c>
      <c r="L116">
        <f t="shared" si="31"/>
        <v>3.0099641376260067E-4</v>
      </c>
      <c r="M116">
        <f t="shared" si="32"/>
        <v>3.0011307912014633E-4</v>
      </c>
      <c r="N116">
        <f t="shared" si="33"/>
        <v>3.0099503671498226E-4</v>
      </c>
      <c r="O116" s="1">
        <f t="shared" si="34"/>
        <v>1.0532408258242707</v>
      </c>
      <c r="P116">
        <f t="shared" si="35"/>
        <v>6.9524822437677661E-5</v>
      </c>
      <c r="Q116">
        <f t="shared" si="36"/>
        <v>6.9218212542887519E-5</v>
      </c>
      <c r="R116">
        <f t="shared" si="37"/>
        <v>6.9223149058608716E-5</v>
      </c>
      <c r="S116">
        <f t="shared" si="38"/>
        <v>6.8921223142534574E-5</v>
      </c>
      <c r="T116">
        <f t="shared" si="39"/>
        <v>6.9221461463867437E-5</v>
      </c>
    </row>
    <row r="117" spans="1:20" x14ac:dyDescent="0.25">
      <c r="A117">
        <f t="shared" si="20"/>
        <v>9.3999999999999826</v>
      </c>
      <c r="B117">
        <f t="shared" si="21"/>
        <v>1.4972402067470227</v>
      </c>
      <c r="C117">
        <f t="shared" si="22"/>
        <v>1.0936760820832125</v>
      </c>
      <c r="D117">
        <f t="shared" si="23"/>
        <v>7.0237139945561472E-5</v>
      </c>
      <c r="E117">
        <f t="shared" si="24"/>
        <v>7.038790955222751E-5</v>
      </c>
      <c r="F117">
        <f t="shared" si="25"/>
        <v>7.037976531387713E-5</v>
      </c>
      <c r="G117">
        <f t="shared" si="26"/>
        <v>7.051513467342119E-5</v>
      </c>
      <c r="H117">
        <f t="shared" si="27"/>
        <v>7.038127072519865E-5</v>
      </c>
      <c r="I117">
        <f t="shared" si="28"/>
        <v>1.0544456109622802</v>
      </c>
      <c r="J117">
        <f t="shared" si="29"/>
        <v>3.0011310407513259E-4</v>
      </c>
      <c r="K117">
        <f t="shared" si="30"/>
        <v>2.9923382851233647E-4</v>
      </c>
      <c r="L117">
        <f t="shared" si="31"/>
        <v>2.9923776843511019E-4</v>
      </c>
      <c r="M117">
        <f t="shared" si="32"/>
        <v>2.9836234035125438E-4</v>
      </c>
      <c r="N117">
        <f t="shared" si="33"/>
        <v>2.992364397202134E-4</v>
      </c>
      <c r="O117" s="1">
        <f t="shared" si="34"/>
        <v>1.0533100472857346</v>
      </c>
      <c r="P117">
        <f t="shared" si="35"/>
        <v>6.8921290679885286E-5</v>
      </c>
      <c r="Q117">
        <f t="shared" si="36"/>
        <v>6.8624262428462762E-5</v>
      </c>
      <c r="R117">
        <f t="shared" si="37"/>
        <v>6.8628875518436661E-5</v>
      </c>
      <c r="S117">
        <f t="shared" si="38"/>
        <v>6.8336231767762715E-5</v>
      </c>
      <c r="T117">
        <f t="shared" si="39"/>
        <v>6.862729972357447E-5</v>
      </c>
    </row>
    <row r="118" spans="1:20" x14ac:dyDescent="0.25">
      <c r="A118">
        <f t="shared" si="20"/>
        <v>9.4999999999999822</v>
      </c>
      <c r="B118">
        <f t="shared" si="21"/>
        <v>1.5001176694241904</v>
      </c>
      <c r="C118">
        <f t="shared" si="22"/>
        <v>1.0937464633539378</v>
      </c>
      <c r="D118">
        <f t="shared" si="23"/>
        <v>7.0516774521234285E-5</v>
      </c>
      <c r="E118">
        <f t="shared" si="24"/>
        <v>7.0641102724344767E-5</v>
      </c>
      <c r="F118">
        <f t="shared" si="25"/>
        <v>7.0633981778200905E-5</v>
      </c>
      <c r="G118">
        <f t="shared" si="26"/>
        <v>7.0743886660995517E-5</v>
      </c>
      <c r="H118">
        <f t="shared" si="27"/>
        <v>7.0635138364553515E-5</v>
      </c>
      <c r="I118">
        <f t="shared" si="28"/>
        <v>1.0547448474020005</v>
      </c>
      <c r="J118">
        <f t="shared" si="29"/>
        <v>2.9836236203232034E-4</v>
      </c>
      <c r="K118">
        <f t="shared" si="30"/>
        <v>2.9749085266009127E-4</v>
      </c>
      <c r="L118">
        <f t="shared" si="31"/>
        <v>2.9749466173881585E-4</v>
      </c>
      <c r="M118">
        <f t="shared" si="32"/>
        <v>2.9662687783062105E-4</v>
      </c>
      <c r="N118">
        <f t="shared" si="33"/>
        <v>2.9749337811012591E-4</v>
      </c>
      <c r="O118" s="1">
        <f t="shared" si="34"/>
        <v>1.0533786745854583</v>
      </c>
      <c r="P118">
        <f t="shared" si="35"/>
        <v>6.8336291086068543E-5</v>
      </c>
      <c r="Q118">
        <f t="shared" si="36"/>
        <v>6.8048221143982016E-5</v>
      </c>
      <c r="R118">
        <f t="shared" si="37"/>
        <v>6.8052534181592411E-5</v>
      </c>
      <c r="S118">
        <f t="shared" si="38"/>
        <v>6.7768570811524437E-5</v>
      </c>
      <c r="T118">
        <f t="shared" si="39"/>
        <v>6.8051062091456965E-5</v>
      </c>
    </row>
    <row r="119" spans="1:20" x14ac:dyDescent="0.25">
      <c r="A119">
        <f t="shared" si="20"/>
        <v>9.5999999999999819</v>
      </c>
      <c r="B119">
        <f t="shared" si="21"/>
        <v>1.5030006621368339</v>
      </c>
      <c r="C119">
        <f t="shared" si="22"/>
        <v>1.0938170984923024</v>
      </c>
      <c r="D119">
        <f t="shared" si="23"/>
        <v>7.074554764070484E-5</v>
      </c>
      <c r="E119">
        <f t="shared" si="24"/>
        <v>7.0845453485190998E-5</v>
      </c>
      <c r="F119">
        <f t="shared" si="25"/>
        <v>7.0839275767831114E-5</v>
      </c>
      <c r="G119">
        <f t="shared" si="26"/>
        <v>7.0925665807841656E-5</v>
      </c>
      <c r="H119">
        <f t="shared" si="27"/>
        <v>7.0840111992431773E-5</v>
      </c>
      <c r="I119">
        <f t="shared" si="28"/>
        <v>1.0550423407801106</v>
      </c>
      <c r="J119">
        <f t="shared" si="29"/>
        <v>2.9662689649826682E-4</v>
      </c>
      <c r="K119">
        <f t="shared" si="30"/>
        <v>2.9576290033888567E-4</v>
      </c>
      <c r="L119">
        <f t="shared" si="31"/>
        <v>2.9576658726405101E-4</v>
      </c>
      <c r="M119">
        <f t="shared" si="32"/>
        <v>2.9490620256532047E-4</v>
      </c>
      <c r="N119">
        <f t="shared" si="33"/>
        <v>2.9576534571157674E-4</v>
      </c>
      <c r="O119" s="1">
        <f t="shared" si="34"/>
        <v>1.0534467256475497</v>
      </c>
      <c r="P119">
        <f t="shared" si="35"/>
        <v>6.7768622554673089E-5</v>
      </c>
      <c r="Q119">
        <f t="shared" si="36"/>
        <v>6.7488932583684161E-5</v>
      </c>
      <c r="R119">
        <f t="shared" si="37"/>
        <v>6.7492967233295786E-5</v>
      </c>
      <c r="S119">
        <f t="shared" si="38"/>
        <v>6.7217125881752224E-5</v>
      </c>
      <c r="T119">
        <f t="shared" si="39"/>
        <v>6.7491591345064206E-5</v>
      </c>
    </row>
    <row r="120" spans="1:20" x14ac:dyDescent="0.25">
      <c r="A120">
        <f t="shared" si="20"/>
        <v>9.6999999999999815</v>
      </c>
      <c r="B120">
        <f t="shared" si="21"/>
        <v>1.50588919551282</v>
      </c>
      <c r="C120">
        <f t="shared" si="22"/>
        <v>1.0938879386042948</v>
      </c>
      <c r="D120">
        <f t="shared" si="23"/>
        <v>7.0927344597304651E-5</v>
      </c>
      <c r="E120">
        <f t="shared" si="24"/>
        <v>7.1004698671295338E-5</v>
      </c>
      <c r="F120">
        <f t="shared" si="25"/>
        <v>7.0999390133241755E-5</v>
      </c>
      <c r="G120">
        <f t="shared" si="26"/>
        <v>7.1064071564119765E-5</v>
      </c>
      <c r="H120">
        <f t="shared" si="27"/>
        <v>7.0999932295083096E-5</v>
      </c>
      <c r="I120">
        <f t="shared" si="28"/>
        <v>1.0553381061258222</v>
      </c>
      <c r="J120">
        <f t="shared" si="29"/>
        <v>2.9490621846031499E-4</v>
      </c>
      <c r="K120">
        <f t="shared" si="30"/>
        <v>2.9404949926778754E-4</v>
      </c>
      <c r="L120">
        <f t="shared" si="31"/>
        <v>2.9405307209803448E-4</v>
      </c>
      <c r="M120">
        <f t="shared" si="32"/>
        <v>2.9319985779328476E-4</v>
      </c>
      <c r="N120">
        <f t="shared" si="33"/>
        <v>2.9405186983087392E-4</v>
      </c>
      <c r="O120" s="1">
        <f t="shared" si="34"/>
        <v>1.0535142172388947</v>
      </c>
      <c r="P120">
        <f t="shared" si="35"/>
        <v>6.7217170645217375E-5</v>
      </c>
      <c r="Q120">
        <f t="shared" si="36"/>
        <v>6.6945324014394678E-5</v>
      </c>
      <c r="R120">
        <f t="shared" si="37"/>
        <v>6.694910035708046E-5</v>
      </c>
      <c r="S120">
        <f t="shared" si="38"/>
        <v>6.6680862911749913E-5</v>
      </c>
      <c r="T120">
        <f t="shared" si="39"/>
        <v>6.6947813716652932E-5</v>
      </c>
    </row>
    <row r="121" spans="1:20" x14ac:dyDescent="0.25">
      <c r="A121">
        <f t="shared" si="20"/>
        <v>9.7999999999999812</v>
      </c>
      <c r="B121">
        <f t="shared" si="21"/>
        <v>1.5087832802004422</v>
      </c>
      <c r="C121">
        <f t="shared" si="22"/>
        <v>1.0939589385365898</v>
      </c>
      <c r="D121">
        <f t="shared" si="23"/>
        <v>7.1065765130651218E-5</v>
      </c>
      <c r="E121">
        <f t="shared" si="24"/>
        <v>7.1122300512538317E-5</v>
      </c>
      <c r="F121">
        <f t="shared" si="25"/>
        <v>7.11177926613793E-5</v>
      </c>
      <c r="G121">
        <f t="shared" si="26"/>
        <v>7.1162438890848287E-5</v>
      </c>
      <c r="H121">
        <f t="shared" si="27"/>
        <v>7.1118065061555785E-5</v>
      </c>
      <c r="I121">
        <f t="shared" si="28"/>
        <v>1.0556321579956531</v>
      </c>
      <c r="J121">
        <f t="shared" si="29"/>
        <v>2.9319987113816525E-4</v>
      </c>
      <c r="K121">
        <f t="shared" si="30"/>
        <v>2.9235020818268797E-4</v>
      </c>
      <c r="L121">
        <f t="shared" si="31"/>
        <v>2.9235367439132628E-4</v>
      </c>
      <c r="M121">
        <f t="shared" si="32"/>
        <v>2.9150741664293113E-4</v>
      </c>
      <c r="N121">
        <f t="shared" si="33"/>
        <v>2.9235250882152079E-4</v>
      </c>
      <c r="O121" s="1">
        <f t="shared" si="34"/>
        <v>1.0535811650526115</v>
      </c>
      <c r="P121">
        <f t="shared" si="35"/>
        <v>6.6680901246238275E-5</v>
      </c>
      <c r="Q121">
        <f t="shared" si="36"/>
        <v>6.641639998524185E-5</v>
      </c>
      <c r="R121">
        <f t="shared" si="37"/>
        <v>6.6419936635184196E-5</v>
      </c>
      <c r="S121">
        <f t="shared" si="38"/>
        <v>6.6158822293771458E-5</v>
      </c>
      <c r="T121">
        <f t="shared" si="39"/>
        <v>6.6418732796810293E-5</v>
      </c>
    </row>
  </sheetData>
  <mergeCells count="5">
    <mergeCell ref="A2:Q3"/>
    <mergeCell ref="E7:M7"/>
    <mergeCell ref="A4:N4"/>
    <mergeCell ref="A5:N5"/>
    <mergeCell ref="A6:N6"/>
  </mergeCells>
  <pageMargins left="0.7" right="0.7" top="0.75" bottom="0.75" header="0.3" footer="0.3"/>
  <pageSetup paperSize="9"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a19154</cp:lastModifiedBy>
  <dcterms:created xsi:type="dcterms:W3CDTF">2020-11-24T09:18:10Z</dcterms:created>
  <dcterms:modified xsi:type="dcterms:W3CDTF">2025-11-20T13:02:34Z</dcterms:modified>
</cp:coreProperties>
</file>